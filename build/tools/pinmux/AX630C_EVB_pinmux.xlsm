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Z:\project\ax620e_trunk_full\build\tools\pinmux\"/>
    </mc:Choice>
  </mc:AlternateContent>
  <bookViews>
    <workbookView showHorizontalScroll="0" showVerticalScroll="0" xWindow="0" yWindow="0" windowWidth="16200" windowHeight="5715" activeTab="2"/>
  </bookViews>
  <sheets>
    <sheet name="EVB" sheetId="1" r:id="rId1"/>
    <sheet name="pspe" sheetId="4" r:id="rId2"/>
    <sheet name="nopull" sheetId="3" r:id="rId3"/>
    <sheet name="params" sheetId="2" r:id="rId4"/>
  </sheets>
  <definedNames>
    <definedName name="AUXCLK0">params!$B$94:$I$94</definedName>
    <definedName name="AUXCLK1">params!$B$95:$I$95</definedName>
    <definedName name="BOND0">params!#REF!</definedName>
    <definedName name="BOND1">params!#REF!</definedName>
    <definedName name="BOND2">params!#REF!</definedName>
    <definedName name="BOT_GPIO_0">params!$B$20:$I$20</definedName>
    <definedName name="BOT_GPIO_1">params!$B$21:$I$21</definedName>
    <definedName name="BOT_GPIO_2">params!$B$22:$I$22</definedName>
    <definedName name="BOT_GPIO_3">params!$B$23:$I$23</definedName>
    <definedName name="BOT_GPIO_4">params!$B$24:$I$24</definedName>
    <definedName name="BOT_GPIO_5">params!$B$25:$I$25</definedName>
    <definedName name="BOT_GPIO_6">params!$B$26:$I$26</definedName>
    <definedName name="BOT_GPIO_7">params!$B$27:$I$27</definedName>
    <definedName name="DDR_CA0">params!#REF!</definedName>
    <definedName name="DDR_CA1">params!#REF!</definedName>
    <definedName name="DDR_CA2">params!#REF!</definedName>
    <definedName name="DDR_CA3">params!#REF!</definedName>
    <definedName name="DDR_CA4">params!#REF!</definedName>
    <definedName name="DDR_CA5">params!#REF!</definedName>
    <definedName name="DDR_CKE0">params!#REF!</definedName>
    <definedName name="DDR_CKE1">params!#REF!</definedName>
    <definedName name="DDR_CLK_C">params!#REF!</definedName>
    <definedName name="DDR_CLK_T">params!#REF!</definedName>
    <definedName name="DDR_CS0">params!#REF!</definedName>
    <definedName name="DDR_CS1">params!#REF!</definedName>
    <definedName name="DDR_CS2">params!#REF!</definedName>
    <definedName name="DDR_CS3">params!#REF!</definedName>
    <definedName name="DDR_DMIA0">params!#REF!</definedName>
    <definedName name="DDR_DMIA1">params!#REF!</definedName>
    <definedName name="DDR_DMIB0">params!#REF!</definedName>
    <definedName name="DDR_DMIB1">params!#REF!</definedName>
    <definedName name="DDR_DQA0">params!#REF!</definedName>
    <definedName name="DDR_DQA1">params!#REF!</definedName>
    <definedName name="DDR_DQA10">params!#REF!</definedName>
    <definedName name="DDR_DQA11">params!#REF!</definedName>
    <definedName name="DDR_DQA12">params!#REF!</definedName>
    <definedName name="DDR_DQA13">params!#REF!</definedName>
    <definedName name="DDR_DQA14">params!#REF!</definedName>
    <definedName name="DDR_DQA15">params!#REF!</definedName>
    <definedName name="DDR_DQA2">params!#REF!</definedName>
    <definedName name="DDR_DQA3">params!#REF!</definedName>
    <definedName name="DDR_DQA4">params!#REF!</definedName>
    <definedName name="DDR_DQA5">params!#REF!</definedName>
    <definedName name="DDR_DQA6">params!#REF!</definedName>
    <definedName name="DDR_DQA7">params!#REF!</definedName>
    <definedName name="DDR_DQA8">params!#REF!</definedName>
    <definedName name="DDR_DQA9">params!#REF!</definedName>
    <definedName name="DDR_DQB0">params!#REF!</definedName>
    <definedName name="DDR_DQB1">params!#REF!</definedName>
    <definedName name="DDR_DQB10">params!#REF!</definedName>
    <definedName name="DDR_DQB11">params!#REF!</definedName>
    <definedName name="DDR_DQB12">params!#REF!</definedName>
    <definedName name="DDR_DQB13">params!#REF!</definedName>
    <definedName name="DDR_DQB14">params!#REF!</definedName>
    <definedName name="DDR_DQB15">params!#REF!</definedName>
    <definedName name="DDR_DQB2">params!#REF!</definedName>
    <definedName name="DDR_DQB3">params!#REF!</definedName>
    <definedName name="DDR_DQB4">params!#REF!</definedName>
    <definedName name="DDR_DQB5">params!#REF!</definedName>
    <definedName name="DDR_DQB6">params!#REF!</definedName>
    <definedName name="DDR_DQB7">params!#REF!</definedName>
    <definedName name="DDR_DQB8">params!#REF!</definedName>
    <definedName name="DDR_DQB9">params!#REF!</definedName>
    <definedName name="DDR_DQSA_C0">params!#REF!</definedName>
    <definedName name="DDR_DQSA_C1">params!#REF!</definedName>
    <definedName name="DDR_DQSA_T0">params!#REF!</definedName>
    <definedName name="DDR_DQSA_T1">params!#REF!</definedName>
    <definedName name="DDR_DQSB_C0">params!#REF!</definedName>
    <definedName name="DDR_DQSB_C1">params!#REF!</definedName>
    <definedName name="DDR_DQSB_T0">params!#REF!</definedName>
    <definedName name="DDR_DQSB_T1">params!#REF!</definedName>
    <definedName name="DDR_RESET_N">params!#REF!</definedName>
    <definedName name="DDR_ZN">params!#REF!</definedName>
    <definedName name="DPHYRX0_PAD_CDRX_L0N">params!#REF!</definedName>
    <definedName name="DPHYRX0_PAD_CDRX_L0P">params!#REF!</definedName>
    <definedName name="DPHYRX0_PAD_CDRX_L1N">params!#REF!</definedName>
    <definedName name="DPHYRX0_PAD_CDRX_L1P">params!#REF!</definedName>
    <definedName name="DPHYRX0_PAD_CDRX_L2N">params!#REF!</definedName>
    <definedName name="DPHYRX0_PAD_CDRX_L2P">params!#REF!</definedName>
    <definedName name="DPHYRX0_PAD_CDRX_L3N">params!#REF!</definedName>
    <definedName name="DPHYRX0_PAD_CDRX_L3P">params!#REF!</definedName>
    <definedName name="DPHYRX0_PAD_CDRX_L4N">params!#REF!</definedName>
    <definedName name="DPHYRX0_PAD_CDRX_L4P">params!#REF!</definedName>
    <definedName name="DPHYRX0_PAD_CDRX_L5N">params!#REF!</definedName>
    <definedName name="DPHYRX0_PAD_CDRX_L5P">params!#REF!</definedName>
    <definedName name="DPHYRX0_VCC18A_CDRX">params!#REF!</definedName>
    <definedName name="DPHYRX1_PAD_CDRX_L0N">params!#REF!</definedName>
    <definedName name="DPHYRX1_PAD_CDRX_L0P">params!#REF!</definedName>
    <definedName name="DPHYRX1_PAD_CDRX_L1N">params!#REF!</definedName>
    <definedName name="DPHYRX1_PAD_CDRX_L1P">params!#REF!</definedName>
    <definedName name="DPHYRX1_PAD_CDRX_L2N">params!#REF!</definedName>
    <definedName name="DPHYRX1_PAD_CDRX_L2P">params!#REF!</definedName>
    <definedName name="DPHYRX1_PAD_CDRX_L3N">params!#REF!</definedName>
    <definedName name="DPHYRX1_PAD_CDRX_L3P">params!#REF!</definedName>
    <definedName name="DPHYRX1_PAD_CDRX_L4N">params!#REF!</definedName>
    <definedName name="DPHYRX1_PAD_CDRX_L4P">params!#REF!</definedName>
    <definedName name="DPHYRX1_PAD_CDRX_L5N">params!#REF!</definedName>
    <definedName name="DPHYRX1_PAD_CDRX_L5P">params!#REF!</definedName>
    <definedName name="DPHYRX1_VCC18A_CDRX">params!#REF!</definedName>
    <definedName name="DPHYRX2_PAD_CDRX_L0N">params!#REF!</definedName>
    <definedName name="DPHYRX2_PAD_CDRX_L0P">params!#REF!</definedName>
    <definedName name="DPHYRX2_PAD_CDRX_L1N">params!#REF!</definedName>
    <definedName name="DPHYRX2_PAD_CDRX_L1P">params!#REF!</definedName>
    <definedName name="DPHYRX2_PAD_CDRX_L2N">params!#REF!</definedName>
    <definedName name="DPHYRX2_PAD_CDRX_L2P">params!#REF!</definedName>
    <definedName name="DPHYRX2_PAD_CDRX_L3N">params!#REF!</definedName>
    <definedName name="DPHYRX2_PAD_CDRX_L3P">params!#REF!</definedName>
    <definedName name="DPHYRX2_PAD_CDRX_L4N">params!#REF!</definedName>
    <definedName name="DPHYRX2_PAD_CDRX_L4P">params!#REF!</definedName>
    <definedName name="DPHYRX2_PAD_CDRX_L5N">params!#REF!</definedName>
    <definedName name="DPHYRX2_PAD_CDRX_L5P">params!#REF!</definedName>
    <definedName name="DPHYRX2_VCC18A_CDRX">params!#REF!</definedName>
    <definedName name="DPHYTX0_PAD_CDTX_L0N">params!#REF!</definedName>
    <definedName name="DPHYTX0_PAD_CDTX_L0P">params!#REF!</definedName>
    <definedName name="DPHYTX0_PAD_CDTX_L1N">params!#REF!</definedName>
    <definedName name="DPHYTX0_PAD_CDTX_L1P">params!#REF!</definedName>
    <definedName name="DPHYTX0_PAD_CDTX_L2N">params!#REF!</definedName>
    <definedName name="DPHYTX0_PAD_CDTX_L2P">params!#REF!</definedName>
    <definedName name="DPHYTX0_PAD_CDTX_L3N">params!#REF!</definedName>
    <definedName name="DPHYTX0_PAD_CDTX_L3P">params!#REF!</definedName>
    <definedName name="DPHYTX0_PAD_CDTX_L4N">params!#REF!</definedName>
    <definedName name="DPHYTX0_PAD_CDTX_L4P">params!#REF!</definedName>
    <definedName name="DPHYTX0_VCC18A_CDTX">params!#REF!</definedName>
    <definedName name="DPHYTX1_PAD_CDTX_L0N">params!#REF!</definedName>
    <definedName name="DPHYTX1_PAD_CDTX_L0P">params!#REF!</definedName>
    <definedName name="DPHYTX1_PAD_CDTX_L1N">params!#REF!</definedName>
    <definedName name="DPHYTX1_PAD_CDTX_L1P">params!#REF!</definedName>
    <definedName name="DPHYTX1_PAD_CDTX_L2N">params!#REF!</definedName>
    <definedName name="DPHYTX1_PAD_CDTX_L2P">params!#REF!</definedName>
    <definedName name="DPHYTX1_PAD_CDTX_L3N">params!#REF!</definedName>
    <definedName name="DPHYTX1_PAD_CDTX_L3P">params!#REF!</definedName>
    <definedName name="DPHYTX1_PAD_CDTX_L4N">params!#REF!</definedName>
    <definedName name="DPHYTX1_PAD_CDTX_L4P">params!#REF!</definedName>
    <definedName name="DPHYTX1_VCC18A_CDTX">params!#REF!</definedName>
    <definedName name="DPHYTX2_PAD_CDTX_L0N">params!#REF!</definedName>
    <definedName name="DPHYTX2_PAD_CDTX_L0P">params!#REF!</definedName>
    <definedName name="DPHYTX2_PAD_CDTX_L1N">params!#REF!</definedName>
    <definedName name="DPHYTX2_PAD_CDTX_L1P">params!#REF!</definedName>
    <definedName name="DPHYTX2_PAD_CDTX_L2N">params!#REF!</definedName>
    <definedName name="DPHYTX2_PAD_CDTX_L2P">params!#REF!</definedName>
    <definedName name="DPHYTX2_PAD_CDTX_L3N">params!#REF!</definedName>
    <definedName name="DPHYTX2_PAD_CDTX_L3P">params!#REF!</definedName>
    <definedName name="DPHYTX2_PAD_CDTX_L4N">params!#REF!</definedName>
    <definedName name="DPHYTX2_PAD_CDTX_L4P">params!#REF!</definedName>
    <definedName name="DPHYTX2_VCC18A_CDTX">params!#REF!</definedName>
    <definedName name="EMMC_CLK">params!$B$8:$I$8</definedName>
    <definedName name="EMMC_CMD">params!$B$9:$I$9</definedName>
    <definedName name="EMMC_DAT0">params!$B$10:$I$10</definedName>
    <definedName name="EMMC_DAT1">params!$B$11:$I$11</definedName>
    <definedName name="EMMC_DAT2">params!$B$12:$I$12</definedName>
    <definedName name="EMMC_DAT3">params!$B$13:$I$13</definedName>
    <definedName name="EMMC_DAT4">params!$B$14:$I$14</definedName>
    <definedName name="EMMC_DAT5">params!$B$15:$I$15</definedName>
    <definedName name="EMMC_DAT6">params!$B$16:$I$16</definedName>
    <definedName name="EMMC_DAT7">params!$B$17:$I$17</definedName>
    <definedName name="EMMC_DS">params!$B$18:$I$18</definedName>
    <definedName name="EMMC_RESET_N">params!$B$19:$I$19</definedName>
    <definedName name="EPHY_CLK">params!$B$67:$I$67</definedName>
    <definedName name="EPHY_RSTN">params!$B$66:$I$66</definedName>
    <definedName name="FLASH_EN">params!$B$42:$I$42</definedName>
    <definedName name="GP1_VCC18A_LPFPLL">params!#REF!</definedName>
    <definedName name="GP2_VCC18A_LPFPLL">params!#REF!</definedName>
    <definedName name="I2C0_SCL">params!$B$32:$I$32</definedName>
    <definedName name="I2C0_SDA">params!$B$33:$I$33</definedName>
    <definedName name="I2C1_SCL">params!$B$34:$I$34</definedName>
    <definedName name="I2C1_SDA">params!$B$35:$I$35</definedName>
    <definedName name="I2C10_SCK">params!#REF!</definedName>
    <definedName name="I2C10_SDA">params!#REF!</definedName>
    <definedName name="I2C2_SCL">params!$B$36:$I$36</definedName>
    <definedName name="I2C2_SDA">params!$B$37:$I$37</definedName>
    <definedName name="I2C3_SCL">params!$B$38:$I$38</definedName>
    <definedName name="I2C3_SDA">params!$B$39:$I$39</definedName>
    <definedName name="I2C4_SCL">params!$B$40:$I$40</definedName>
    <definedName name="I2C4_SDA">params!$B$41:$I$41</definedName>
    <definedName name="I2C8_SCL">params!$B$58:$I$58</definedName>
    <definedName name="I2C8_SDA">params!$B$59:$I$59</definedName>
    <definedName name="I2C9_SCL">params!$B$60:$I$60</definedName>
    <definedName name="I2C9_SDA">params!$B$61:$I$61</definedName>
    <definedName name="IIS2_DIN0">params!$B$56:$I$56</definedName>
    <definedName name="IIS2_DIN1">params!$B$57:$I$57</definedName>
    <definedName name="IIS2_DOUT">params!$B$55:$I$55</definedName>
    <definedName name="IIS2_LRCK">params!$B$54:$I$54</definedName>
    <definedName name="IIS2_MCLK">params!$B$52:$I$52</definedName>
    <definedName name="IIS2_SCLK">params!$B$53:$I$53</definedName>
    <definedName name="MCK_0">params!#REF!</definedName>
    <definedName name="MCK_1">params!#REF!</definedName>
    <definedName name="MCK_2">params!#REF!</definedName>
    <definedName name="N.A">params!#REF!</definedName>
    <definedName name="PTEST">params!#REF!</definedName>
    <definedName name="PWM_0">params!$B$62:$I$62</definedName>
    <definedName name="PWM_1">params!$B$63:$I$63</definedName>
    <definedName name="PWM_2">params!$B$43:$I$43</definedName>
    <definedName name="RGMII_MDCK">params!$B$64:$I$64</definedName>
    <definedName name="RGMII_MDIO">params!$B$65:$I$65</definedName>
    <definedName name="RGMII_RXCLK">params!$B$91:$I$91</definedName>
    <definedName name="RGMII_RXD0">params!$B$89:$I$89</definedName>
    <definedName name="RGMII_RXD1">params!$B$88:$I$88</definedName>
    <definedName name="RGMII_RXD2">params!$B$87:$I$87</definedName>
    <definedName name="RGMII_RXD3">params!$B$86:$I$86</definedName>
    <definedName name="RGMII_RXDV">params!$B$90:$I$90</definedName>
    <definedName name="RGMII_TXCLK">params!$B$85:$I$85</definedName>
    <definedName name="RGMII_TXD0">params!$B$83:$I$83</definedName>
    <definedName name="RGMII_TXD1">params!$B$82:$I$82</definedName>
    <definedName name="RGMII_TXD2">params!$B$81:$I$81</definedName>
    <definedName name="RGMII_TXD3">params!$B$80:$I$80</definedName>
    <definedName name="RGMII_TXEN">params!$B$84:$I$84</definedName>
    <definedName name="SD_CLK">params!$B$70:$I$70</definedName>
    <definedName name="SD_CMD">params!$B$71:$I$71</definedName>
    <definedName name="SD_DAT0">params!$B$73:$I$73</definedName>
    <definedName name="SD_DAT1">params!$B$72:$I$72</definedName>
    <definedName name="SD_DAT2">params!$B$69:$I$69</definedName>
    <definedName name="SD_DAT3">params!$B$68:$I$68</definedName>
    <definedName name="SDIO_CARD_DETECT_N">params!$B$30:$I$30</definedName>
    <definedName name="SDIO_CLK">params!$B$76:$I$76</definedName>
    <definedName name="SDIO_CMD">params!$B$77:$I$77</definedName>
    <definedName name="SDIO_DAT0">params!$B$79:$I$79</definedName>
    <definedName name="SDIO_DAT1">params!$B$78:$I$78</definedName>
    <definedName name="SDIO_DAT2">params!$B$75:$I$75</definedName>
    <definedName name="SDIO_DAT3">params!$B$74:$I$74</definedName>
    <definedName name="SDIO_POWER_EN">params!$B$29:$I$29</definedName>
    <definedName name="SDIO_POWER_SW">params!$B$31:$I$31</definedName>
    <definedName name="SLEEPOUT">params!$B$98:$I$98</definedName>
    <definedName name="SPI2_CLK">params!$B$48:$I$48</definedName>
    <definedName name="SPI2_CS">params!$B$49:$I$49</definedName>
    <definedName name="SPI2_MISO">params!$B$50:$I$50</definedName>
    <definedName name="SPI2_MOSI">params!$B$51:$I$51</definedName>
    <definedName name="SPI3_CLK">params!$B$44:$I$44</definedName>
    <definedName name="SPI3_CS">params!$B$45:$I$45</definedName>
    <definedName name="SPI3_MISO">params!$B$46:$I$46</definedName>
    <definedName name="SPI3_MOSI">params!$B$47:$I$47</definedName>
    <definedName name="SYS_RSTN_IN">params!#REF!</definedName>
    <definedName name="SYS_RSTN_OUT">params!$B$92:$I$92</definedName>
    <definedName name="SYS_WAKEUP0">params!$B$99:$I$99</definedName>
    <definedName name="SYS_WAKEUP1">params!$B$93:$I$93</definedName>
    <definedName name="TCK">params!$B$96:$I$96</definedName>
    <definedName name="THM_NVDD1">params!#REF!</definedName>
    <definedName name="THM_NVSS1">params!#REF!</definedName>
    <definedName name="THM_REXT">params!#REF!</definedName>
    <definedName name="THM_VINS_0">params!#REF!</definedName>
    <definedName name="THM_VINS_1">params!#REF!</definedName>
    <definedName name="THM_VINS_2">params!#REF!</definedName>
    <definedName name="THM_VINS_3">params!#REF!</definedName>
    <definedName name="THM_VINS_4">params!#REF!</definedName>
    <definedName name="THM_VREFN">params!#REF!</definedName>
    <definedName name="THM_VREFP">params!#REF!</definedName>
    <definedName name="TMS">params!$B$97:$I$97</definedName>
    <definedName name="U2_DM">params!#REF!</definedName>
    <definedName name="U2_DP">params!#REF!</definedName>
    <definedName name="U2_GND33A">params!#REF!</definedName>
    <definedName name="U2_VCC18IO">params!#REF!</definedName>
    <definedName name="U2_VCC33A">params!#REF!</definedName>
    <definedName name="USB_ID">params!$B$28:$I$28</definedName>
    <definedName name="VDD_CORE0P8">params!#REF!</definedName>
    <definedName name="VDDCORE_RTC">params!#REF!</definedName>
    <definedName name="VDDIO18_EMAC">params!#REF!</definedName>
    <definedName name="VDDIO18_EMMC">params!#REF!</definedName>
    <definedName name="VDDIO18_GPIO0">params!#REF!</definedName>
    <definedName name="VDDIO18_GPIO1">params!#REF!</definedName>
    <definedName name="VDDIO18_SDCARD">params!#REF!</definedName>
    <definedName name="VDDIO18_SDIO">params!#REF!</definedName>
    <definedName name="VDDIO18_SEN_GPIO">params!#REF!</definedName>
    <definedName name="VDDIO18_X24M">params!#REF!</definedName>
    <definedName name="VDDIO33_EMAC">params!#REF!</definedName>
    <definedName name="VDDIO33_EMMC">params!#REF!</definedName>
    <definedName name="VDDIO33_GPIO0">params!#REF!</definedName>
    <definedName name="VDDIO33_GPIO1">params!#REF!</definedName>
    <definedName name="VDDIO33_SDCARD">params!#REF!</definedName>
    <definedName name="VDDIO33_SDIO">params!#REF!</definedName>
    <definedName name="VDDPLL_MCB_DDR">params!#REF!</definedName>
    <definedName name="VDDPLL_TOP_DDR">params!#REF!</definedName>
    <definedName name="VDDQ_CK_DDR">params!#REF!</definedName>
    <definedName name="VDDQ_DDR">params!#REF!</definedName>
    <definedName name="VDDQX_DDR">params!#REF!</definedName>
    <definedName name="VSS">params!#REF!</definedName>
    <definedName name="X24M_XIN">params!#REF!</definedName>
    <definedName name="X24M_XOUT">params!#REF!</definedName>
    <definedName name="X32K_XIN">params!#REF!</definedName>
    <definedName name="X32K_XOUT">params!#REF!</definedName>
  </definedNames>
  <calcPr calcId="162913"/>
</workbook>
</file>

<file path=xl/calcChain.xml><?xml version="1.0" encoding="utf-8"?>
<calcChain xmlns="http://schemas.openxmlformats.org/spreadsheetml/2006/main">
  <c r="L3" i="3" l="1"/>
  <c r="L21" i="4"/>
  <c r="L8" i="4"/>
  <c r="L3" i="4"/>
  <c r="L81" i="1"/>
  <c r="L74" i="1"/>
  <c r="L61" i="1"/>
  <c r="L54" i="1"/>
  <c r="L31" i="1"/>
  <c r="L18" i="1"/>
  <c r="L6" i="1"/>
  <c r="L90" i="1" l="1"/>
  <c r="L89" i="1"/>
  <c r="L88" i="1"/>
  <c r="L87" i="1"/>
  <c r="L86" i="1"/>
  <c r="L85" i="1"/>
  <c r="L84" i="1"/>
  <c r="L83" i="1"/>
  <c r="L82" i="1"/>
  <c r="L24" i="4" l="1"/>
  <c r="L23" i="4"/>
  <c r="L22" i="4"/>
  <c r="L19" i="4"/>
  <c r="L18" i="4"/>
  <c r="L17" i="4"/>
  <c r="L16" i="4"/>
  <c r="L15" i="4"/>
  <c r="L14" i="4"/>
  <c r="L13" i="4"/>
  <c r="L12" i="4"/>
  <c r="L11" i="4"/>
  <c r="L10" i="4"/>
  <c r="L9" i="4"/>
  <c r="L6" i="4"/>
  <c r="L5" i="4"/>
  <c r="L4" i="4"/>
  <c r="L14" i="3"/>
  <c r="L13" i="3"/>
  <c r="L12" i="3"/>
  <c r="L11" i="3"/>
  <c r="L10" i="3"/>
  <c r="L9" i="3"/>
  <c r="L8" i="3"/>
  <c r="L7" i="3"/>
  <c r="L6" i="3"/>
  <c r="L5" i="3"/>
  <c r="L4" i="3"/>
  <c r="L79" i="1" l="1"/>
  <c r="L78" i="1"/>
  <c r="L77" i="1"/>
  <c r="L76" i="1"/>
  <c r="L75" i="1"/>
  <c r="L72" i="1"/>
  <c r="L71" i="1"/>
  <c r="L70" i="1"/>
  <c r="L69" i="1"/>
  <c r="L68" i="1"/>
  <c r="L67" i="1"/>
  <c r="L66" i="1"/>
  <c r="L65" i="1"/>
  <c r="L64" i="1"/>
  <c r="L63" i="1"/>
  <c r="L62" i="1"/>
  <c r="L59" i="1"/>
  <c r="L58" i="1"/>
  <c r="L57" i="1"/>
  <c r="L56" i="1"/>
  <c r="L55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29" i="1"/>
  <c r="L28" i="1"/>
  <c r="L27" i="1"/>
  <c r="L26" i="1"/>
  <c r="L25" i="1"/>
  <c r="L24" i="1"/>
  <c r="L23" i="1"/>
  <c r="L22" i="1"/>
  <c r="L21" i="1"/>
  <c r="L20" i="1"/>
  <c r="L19" i="1"/>
  <c r="L16" i="1"/>
  <c r="L15" i="1"/>
  <c r="L14" i="1"/>
  <c r="L13" i="1"/>
  <c r="L12" i="1"/>
  <c r="L11" i="1"/>
  <c r="L10" i="1"/>
  <c r="L9" i="1"/>
  <c r="L8" i="1"/>
  <c r="L7" i="1"/>
</calcChain>
</file>

<file path=xl/sharedStrings.xml><?xml version="1.0" encoding="utf-8"?>
<sst xmlns="http://schemas.openxmlformats.org/spreadsheetml/2006/main" count="1263" uniqueCount="776">
  <si>
    <t>group ID</t>
  </si>
  <si>
    <t>PAD name</t>
  </si>
  <si>
    <t>base address</t>
  </si>
  <si>
    <t>offset</t>
  </si>
  <si>
    <t>sleep_pu[29]</t>
  </si>
  <si>
    <t>sleep_pd[28]</t>
  </si>
  <si>
    <t>sleep_st[27]</t>
  </si>
  <si>
    <t>sleep_ie[26]</t>
  </si>
  <si>
    <t>sleep_oe[25]</t>
  </si>
  <si>
    <t>sleep_out[24]</t>
  </si>
  <si>
    <t>sleep_en[23]</t>
  </si>
  <si>
    <t>func_sel[18:16]</t>
  </si>
  <si>
    <t>function</t>
  </si>
  <si>
    <t>pu[7]</t>
  </si>
  <si>
    <t>pd[6]</t>
  </si>
  <si>
    <t>st[4]</t>
  </si>
  <si>
    <t>ds[3:0]</t>
  </si>
  <si>
    <t>notes</t>
  </si>
  <si>
    <t>G1</t>
  </si>
  <si>
    <t>VI_D0</t>
  </si>
  <si>
    <t>0xC</t>
  </si>
  <si>
    <t>VI_D1</t>
  </si>
  <si>
    <t>0x18</t>
  </si>
  <si>
    <t>VI_D2</t>
  </si>
  <si>
    <t>0x24</t>
  </si>
  <si>
    <t>VI_D3</t>
  </si>
  <si>
    <t>0x30</t>
  </si>
  <si>
    <t>VI_D4</t>
  </si>
  <si>
    <t>0x3C</t>
  </si>
  <si>
    <t>VI_D5</t>
  </si>
  <si>
    <t>0x48</t>
  </si>
  <si>
    <t>VI_D6</t>
  </si>
  <si>
    <t>0x54</t>
  </si>
  <si>
    <t>VI_D7</t>
  </si>
  <si>
    <t>0x60</t>
  </si>
  <si>
    <t>VI_D8</t>
  </si>
  <si>
    <t>0x6C</t>
  </si>
  <si>
    <t>VI_D9</t>
  </si>
  <si>
    <t>0x78</t>
  </si>
  <si>
    <t>VI_CLK0</t>
  </si>
  <si>
    <t>0x84</t>
  </si>
  <si>
    <t>G2</t>
  </si>
  <si>
    <t>THM_AIN3</t>
  </si>
  <si>
    <t>THM_AIN2</t>
  </si>
  <si>
    <t>THM_AIN1</t>
  </si>
  <si>
    <t>THM_AIN0</t>
  </si>
  <si>
    <t>G5</t>
  </si>
  <si>
    <t>SD_PWR_SW</t>
  </si>
  <si>
    <t>GPIO3_A1</t>
  </si>
  <si>
    <t>GPIO3_A2</t>
  </si>
  <si>
    <t>GPIO3_A3</t>
  </si>
  <si>
    <t>BOND0</t>
  </si>
  <si>
    <t>BOND1</t>
  </si>
  <si>
    <t>EMMC_PWR_EN</t>
  </si>
  <si>
    <t>BOND2</t>
  </si>
  <si>
    <t>SYS_RSTN_OUT</t>
  </si>
  <si>
    <t>TMS</t>
  </si>
  <si>
    <t>0x90</t>
  </si>
  <si>
    <t>TCK</t>
  </si>
  <si>
    <t>0x9C</t>
  </si>
  <si>
    <t>SD_PWR_EN</t>
  </si>
  <si>
    <t>0xA8</t>
  </si>
  <si>
    <t>G6</t>
  </si>
  <si>
    <t>I2C0_SCL</t>
  </si>
  <si>
    <t>I2C0_SDA</t>
  </si>
  <si>
    <t>I2C1_SCL</t>
  </si>
  <si>
    <t>I2C1_SDA</t>
  </si>
  <si>
    <t>UART0_TXD</t>
  </si>
  <si>
    <t>UART0_RXD</t>
  </si>
  <si>
    <t>UART1_TXD</t>
  </si>
  <si>
    <t>UART1_RXD</t>
  </si>
  <si>
    <t>UART2_TXD</t>
  </si>
  <si>
    <t>UART2_RXD</t>
  </si>
  <si>
    <t>UART3_TXD</t>
  </si>
  <si>
    <t>UART3_RXD</t>
  </si>
  <si>
    <t>G7</t>
  </si>
  <si>
    <t>MICP_L_D</t>
  </si>
  <si>
    <t>MICN_L_D</t>
  </si>
  <si>
    <t>MICN_R_D</t>
  </si>
  <si>
    <t>MICP_R_D</t>
  </si>
  <si>
    <t>G8</t>
  </si>
  <si>
    <t>EMAC_PTP_PPS0</t>
  </si>
  <si>
    <t>EMAC_PTP_PPS1</t>
  </si>
  <si>
    <t>EMAC_PTP_PPS2</t>
  </si>
  <si>
    <t>EMAC_PTP_PPS3</t>
  </si>
  <si>
    <t>RGMII_MDCK</t>
  </si>
  <si>
    <t>RGMII_MDIO</t>
  </si>
  <si>
    <t>EPHY_CLK</t>
  </si>
  <si>
    <t>EPHY_RSTN</t>
  </si>
  <si>
    <t>EPHY_LED0</t>
  </si>
  <si>
    <t>EPHY_LED1</t>
  </si>
  <si>
    <t>RGMII_RXD0</t>
  </si>
  <si>
    <t>RGMII_RXD1</t>
  </si>
  <si>
    <t>RGMII_RXDV</t>
  </si>
  <si>
    <t>RGMII_RXCLK</t>
  </si>
  <si>
    <t>RGMII_RXD2</t>
  </si>
  <si>
    <t>0xB4</t>
  </si>
  <si>
    <t>RGMII_RXD3</t>
  </si>
  <si>
    <t>0xC0</t>
  </si>
  <si>
    <t>RGMII_TXD0</t>
  </si>
  <si>
    <t>0xCC</t>
  </si>
  <si>
    <t>RGMII_TXD1</t>
  </si>
  <si>
    <t>0xD8</t>
  </si>
  <si>
    <t>RGMII_TXCLK</t>
  </si>
  <si>
    <t>0xE4</t>
  </si>
  <si>
    <t>RGMII_TXEN</t>
  </si>
  <si>
    <t>0xF0</t>
  </si>
  <si>
    <t>RGMII_TXD2</t>
  </si>
  <si>
    <t>0xFC</t>
  </si>
  <si>
    <t>RGMII_TXD3</t>
  </si>
  <si>
    <t>0x108</t>
  </si>
  <si>
    <t>G9</t>
  </si>
  <si>
    <t>SD_DAT0</t>
  </si>
  <si>
    <t>SD_DAT1</t>
  </si>
  <si>
    <t>SD_CLK</t>
  </si>
  <si>
    <t>SD_CMD</t>
  </si>
  <si>
    <t>SD_DAT2</t>
  </si>
  <si>
    <t>SD_DAT3</t>
  </si>
  <si>
    <t>G11</t>
  </si>
  <si>
    <t>EMMC_DAT5</t>
  </si>
  <si>
    <t>EMMC_RESET_N</t>
  </si>
  <si>
    <t>EMMC_DAT4</t>
  </si>
  <si>
    <t>EMMC_DAT6</t>
  </si>
  <si>
    <t>EMMC_DS</t>
  </si>
  <si>
    <t>EMMC_DAT7</t>
  </si>
  <si>
    <t>EMMC_DAT3</t>
  </si>
  <si>
    <t>EMMC_DAT2</t>
  </si>
  <si>
    <t>EMMC_CLK</t>
  </si>
  <si>
    <t>EMMC_DAT0</t>
  </si>
  <si>
    <t>EMMC_CMD</t>
  </si>
  <si>
    <t>EMMC_DAT1</t>
  </si>
  <si>
    <t>G12</t>
  </si>
  <si>
    <t>SDIO_DAT0</t>
  </si>
  <si>
    <t>SDIO_DAT1</t>
  </si>
  <si>
    <t>SDIO_CLK</t>
  </si>
  <si>
    <t>SDIO_CMD</t>
  </si>
  <si>
    <t>SDIO_DAT2</t>
  </si>
  <si>
    <t>SDIO_DAT3</t>
  </si>
  <si>
    <t>TEST</t>
  </si>
  <si>
    <t>HPLP</t>
  </si>
  <si>
    <t>HPLN</t>
  </si>
  <si>
    <t>HPRN</t>
  </si>
  <si>
    <t>HPRP</t>
  </si>
  <si>
    <t>MICP_L</t>
  </si>
  <si>
    <t>MICN_L</t>
  </si>
  <si>
    <t>VCAP</t>
  </si>
  <si>
    <t>MIC_BIAS0</t>
  </si>
  <si>
    <t>MIC_BIAS1</t>
  </si>
  <si>
    <t>MICN_R</t>
  </si>
  <si>
    <t>MICP_R</t>
  </si>
  <si>
    <t>dphyrx</t>
  </si>
  <si>
    <t>CDRX_L0N</t>
  </si>
  <si>
    <t>CDRX_L0P</t>
  </si>
  <si>
    <t>CDRX_L1N</t>
  </si>
  <si>
    <t>CDRX_L1P</t>
  </si>
  <si>
    <t>CDRX_L2N</t>
  </si>
  <si>
    <t>CDRX_L2P</t>
  </si>
  <si>
    <t>CDRX_L3N</t>
  </si>
  <si>
    <t>CDRX_L3P</t>
  </si>
  <si>
    <t>CDRX_L4N</t>
  </si>
  <si>
    <t>CDRX_L4P</t>
  </si>
  <si>
    <t>CDRX_L5N</t>
  </si>
  <si>
    <t>CDRX_L5P</t>
  </si>
  <si>
    <t>FUNC0</t>
  </si>
  <si>
    <t>FUNC1</t>
  </si>
  <si>
    <t>FUNC2</t>
  </si>
  <si>
    <t>FUNC3</t>
  </si>
  <si>
    <t>FUNC4</t>
  </si>
  <si>
    <t>FUNC5</t>
  </si>
  <si>
    <t>FUNC6</t>
  </si>
  <si>
    <t>FUNC7</t>
  </si>
  <si>
    <t>vi_d0</t>
  </si>
  <si>
    <t>INFRARED_FS</t>
  </si>
  <si>
    <t>SPI_M1_MOSI</t>
  </si>
  <si>
    <t>I2C6_SDA</t>
  </si>
  <si>
    <t>I2S0_DIN0</t>
  </si>
  <si>
    <t>DB_GPIO0</t>
  </si>
  <si>
    <t>GPIO0_A0</t>
  </si>
  <si>
    <t>ANALOG_TEST1</t>
  </si>
  <si>
    <t>vi_d1</t>
  </si>
  <si>
    <t>INFRARED_SDO0</t>
  </si>
  <si>
    <t>SPI_M1_MISO</t>
  </si>
  <si>
    <t>I2C6_SCL</t>
  </si>
  <si>
    <t>I2S0_SCLK</t>
  </si>
  <si>
    <t>DB_GPIO1</t>
  </si>
  <si>
    <t>GPIO0_A1</t>
  </si>
  <si>
    <t>ANALOG_TEST2</t>
  </si>
  <si>
    <t>vi_d2</t>
  </si>
  <si>
    <t>INFRARED_SDO1</t>
  </si>
  <si>
    <t>SPI_M1_CS0</t>
  </si>
  <si>
    <t>TIME_50HZ</t>
  </si>
  <si>
    <t>I2S0_DOUT</t>
  </si>
  <si>
    <t>DB_GPIO2</t>
  </si>
  <si>
    <t>GPIO0_A2</t>
  </si>
  <si>
    <t>ANALOG_TEST3</t>
  </si>
  <si>
    <t>vi_d3</t>
  </si>
  <si>
    <t>INFRARED_SDO2</t>
  </si>
  <si>
    <t>SPI_M1_CS1</t>
  </si>
  <si>
    <t>CLK_AUX1_1</t>
  </si>
  <si>
    <t>I2S0_MCLK</t>
  </si>
  <si>
    <t>DB_GPIO3</t>
  </si>
  <si>
    <t>GPIO0_A3</t>
  </si>
  <si>
    <t>ANALOG_TEST4</t>
  </si>
  <si>
    <t>vi_d4</t>
  </si>
  <si>
    <t>INFRARED_CLK_M</t>
  </si>
  <si>
    <t>SPI_M1_SCLK</t>
  </si>
  <si>
    <t>I2C5_SDA</t>
  </si>
  <si>
    <t>I2S0_DIN1</t>
  </si>
  <si>
    <t>DB_GPIO4</t>
  </si>
  <si>
    <t>GPIO0_A4</t>
  </si>
  <si>
    <t>ANALOG_TEST5</t>
  </si>
  <si>
    <t>vi_d5</t>
  </si>
  <si>
    <t>SPI_S_D3</t>
  </si>
  <si>
    <t>I2C_S0_SDA</t>
  </si>
  <si>
    <t>DB_GPIO5</t>
  </si>
  <si>
    <t>GPIO0_A5</t>
  </si>
  <si>
    <t>vi_d6</t>
  </si>
  <si>
    <t>INFRARED_SDI0</t>
  </si>
  <si>
    <t>SPI_S_D1</t>
  </si>
  <si>
    <t>I2C_S0_SCL</t>
  </si>
  <si>
    <t>DB_GPIO6</t>
  </si>
  <si>
    <t>GPIO0_A6</t>
  </si>
  <si>
    <t>vi_d7</t>
  </si>
  <si>
    <t>INFRARED_SDI1</t>
  </si>
  <si>
    <t>SPI_S_D0</t>
  </si>
  <si>
    <t>SPI_M1_CS2</t>
  </si>
  <si>
    <t>DB_GPIO7</t>
  </si>
  <si>
    <t>GPIO0_A7</t>
  </si>
  <si>
    <t>vi_d8</t>
  </si>
  <si>
    <t>INFRARED_SDI2</t>
  </si>
  <si>
    <t>SPI_S_CS</t>
  </si>
  <si>
    <t>I2C7_SCL</t>
  </si>
  <si>
    <t>DB_GPIO8</t>
  </si>
  <si>
    <t>GPIO0_A8</t>
  </si>
  <si>
    <t>vi_d9</t>
  </si>
  <si>
    <t>INFRARED_SDI3</t>
  </si>
  <si>
    <t>SPI_S_D2</t>
  </si>
  <si>
    <t>I2C7_SDA</t>
  </si>
  <si>
    <t>DB_GPIO9</t>
  </si>
  <si>
    <t>GPIO0_A9</t>
  </si>
  <si>
    <t>vi_clk0</t>
  </si>
  <si>
    <t>SPI_M1_CS3</t>
  </si>
  <si>
    <t>SPI_S_SCLK</t>
  </si>
  <si>
    <t>I2C5_SCL</t>
  </si>
  <si>
    <t>I2S0_LRCK</t>
  </si>
  <si>
    <t>DB_GPIO10</t>
  </si>
  <si>
    <t>GPIO0_A10</t>
  </si>
  <si>
    <t>ANALOG_TEST0</t>
  </si>
  <si>
    <t>thm_ain3</t>
  </si>
  <si>
    <t>DB_GPIO11</t>
  </si>
  <si>
    <t>GPIO0_A11</t>
  </si>
  <si>
    <t>thm_ain2</t>
  </si>
  <si>
    <t>MCLK6</t>
  </si>
  <si>
    <t>DB_GPIO12</t>
  </si>
  <si>
    <t>GPIO0_A12</t>
  </si>
  <si>
    <t>thm_ain1</t>
  </si>
  <si>
    <t>TIMESTAMP_LOCK_O0</t>
  </si>
  <si>
    <t>PWM11</t>
  </si>
  <si>
    <t>DB_GPIO13</t>
  </si>
  <si>
    <t>GPIO0_A13</t>
  </si>
  <si>
    <t>thm_ain0</t>
  </si>
  <si>
    <t>TIMESTAMP_LOCK_I0</t>
  </si>
  <si>
    <t>PWM10</t>
  </si>
  <si>
    <t>DB_GPIO14</t>
  </si>
  <si>
    <t>GPIO0_A14</t>
  </si>
  <si>
    <t>sd_pwr_sw</t>
  </si>
  <si>
    <t>WDT_THM_RST</t>
  </si>
  <si>
    <t>DB_GPIO16</t>
  </si>
  <si>
    <t>gpio3_a1</t>
  </si>
  <si>
    <t>SLEEPOUT</t>
  </si>
  <si>
    <t>DB_GPIO18</t>
  </si>
  <si>
    <t>gpio3_a2</t>
  </si>
  <si>
    <t>SEN_HSYNC_D0</t>
  </si>
  <si>
    <t>DB_GPIO19</t>
  </si>
  <si>
    <t>gpio3_a3</t>
  </si>
  <si>
    <t>DB_GPIO20</t>
  </si>
  <si>
    <t>bond0</t>
  </si>
  <si>
    <t>SEN_VSYNC_D1</t>
  </si>
  <si>
    <t>UART3_RTS</t>
  </si>
  <si>
    <t>GPIO0_A15</t>
  </si>
  <si>
    <t>bond1</t>
  </si>
  <si>
    <t>SEN_HSYNC_D1</t>
  </si>
  <si>
    <t>UART3_CTS</t>
  </si>
  <si>
    <t>GPIO0_A16</t>
  </si>
  <si>
    <t>emmc_pwr_en</t>
  </si>
  <si>
    <t>UART1_CTS</t>
  </si>
  <si>
    <t>DB_GPIO17</t>
  </si>
  <si>
    <t>GPIO0_A17</t>
  </si>
  <si>
    <t>bond2</t>
  </si>
  <si>
    <t>MCLK0</t>
  </si>
  <si>
    <t>UART1_RTS</t>
  </si>
  <si>
    <t>GPIO0_A18</t>
  </si>
  <si>
    <t>sys_rstn_out</t>
  </si>
  <si>
    <t>tms</t>
  </si>
  <si>
    <t>UART4_TXD</t>
  </si>
  <si>
    <t>DB_GPIO21</t>
  </si>
  <si>
    <t>GPIO0_A21</t>
  </si>
  <si>
    <t>tck</t>
  </si>
  <si>
    <t>UART4_RXD</t>
  </si>
  <si>
    <t>DB_GPIO22</t>
  </si>
  <si>
    <t>GPIO0_A22</t>
  </si>
  <si>
    <t>sd_pwr_en</t>
  </si>
  <si>
    <t>DB_GPIO23</t>
  </si>
  <si>
    <t>GPIO0_A23</t>
  </si>
  <si>
    <t>i2c0_scl</t>
  </si>
  <si>
    <t>SPI_M2_CS1</t>
  </si>
  <si>
    <t>RISC_TCK</t>
  </si>
  <si>
    <t>PWM00</t>
  </si>
  <si>
    <t>CLK_AUX0_0</t>
  </si>
  <si>
    <t>UART2_CTS</t>
  </si>
  <si>
    <t>GPIO0_A24</t>
  </si>
  <si>
    <t>ANALOG_TEST12</t>
  </si>
  <si>
    <t>i2c0_sda</t>
  </si>
  <si>
    <t>SPI_M2_CS2</t>
  </si>
  <si>
    <t>RISC_TRSTN</t>
  </si>
  <si>
    <t>PWM01</t>
  </si>
  <si>
    <t>CLK_AUX0_1</t>
  </si>
  <si>
    <t>UART2_RTS</t>
  </si>
  <si>
    <t>GPIO0_A25</t>
  </si>
  <si>
    <t>ANALOG_TEST13</t>
  </si>
  <si>
    <t>i2c1_scl</t>
  </si>
  <si>
    <t>SPI_M2_SCLK</t>
  </si>
  <si>
    <t>PWM02</t>
  </si>
  <si>
    <t>CLK_AUX0_2</t>
  </si>
  <si>
    <t>UART4_CTS</t>
  </si>
  <si>
    <t>GPIO0_A26</t>
  </si>
  <si>
    <t>i2c1_sda</t>
  </si>
  <si>
    <t>SPI_M2_CS0</t>
  </si>
  <si>
    <t>PWM03</t>
  </si>
  <si>
    <t>CLK_AUX1_0</t>
  </si>
  <si>
    <t>UART4_RTS</t>
  </si>
  <si>
    <t>GPIO0_A27</t>
  </si>
  <si>
    <t>uart0_txd</t>
  </si>
  <si>
    <t>RISC_TDI</t>
  </si>
  <si>
    <t>DB_GPIO24</t>
  </si>
  <si>
    <t>GPIO0_A28</t>
  </si>
  <si>
    <t>ANALOG_TEST6</t>
  </si>
  <si>
    <t>uart0_rxd</t>
  </si>
  <si>
    <t>RISC_TMS</t>
  </si>
  <si>
    <t>DB_GPIO25</t>
  </si>
  <si>
    <t>GPIO0_A29</t>
  </si>
  <si>
    <t>ANALOG_TEST7</t>
  </si>
  <si>
    <t>uart1_txd</t>
  </si>
  <si>
    <t>SPI_M2_CS3</t>
  </si>
  <si>
    <t>RISC_TDO</t>
  </si>
  <si>
    <t>PWM06</t>
  </si>
  <si>
    <t>SEN_FLASH_D1</t>
  </si>
  <si>
    <t>DB_GPIO26</t>
  </si>
  <si>
    <t>GPIO0_A30</t>
  </si>
  <si>
    <t>ANALOG_TEST8</t>
  </si>
  <si>
    <t>uart1_rxd</t>
  </si>
  <si>
    <t>MCLK7</t>
  </si>
  <si>
    <t>CLK_AUX3_0</t>
  </si>
  <si>
    <t>PWM07</t>
  </si>
  <si>
    <t>SEN_FLASH_D2</t>
  </si>
  <si>
    <t>GPIO0_A31</t>
  </si>
  <si>
    <t>ANALOG_TEST9</t>
  </si>
  <si>
    <t>uart2_txd</t>
  </si>
  <si>
    <t>CLK_AUX3_1</t>
  </si>
  <si>
    <t>TIMESTAMP_LOCK_I1</t>
  </si>
  <si>
    <t>SEN_FLASH_D3</t>
  </si>
  <si>
    <t>DB_GPIO27</t>
  </si>
  <si>
    <t>GPIO1_A0</t>
  </si>
  <si>
    <t>ANALOG_TEST10</t>
  </si>
  <si>
    <t>uart2_rxd</t>
  </si>
  <si>
    <t>CLK_AUX3_2</t>
  </si>
  <si>
    <t>TIMESTAMP_LOCK_O1</t>
  </si>
  <si>
    <t>SEN_ELEC_PLS</t>
  </si>
  <si>
    <t>DB_GPIO28</t>
  </si>
  <si>
    <t>GPIO1_A1</t>
  </si>
  <si>
    <t>ANALOG_TEST11</t>
  </si>
  <si>
    <t>uart3_txd</t>
  </si>
  <si>
    <t>SPI_M2_MOSI</t>
  </si>
  <si>
    <t>CLK_AUX2_1</t>
  </si>
  <si>
    <t>PWM04</t>
  </si>
  <si>
    <t>SEN_FLASH_D4</t>
  </si>
  <si>
    <t>DB_GPIO29</t>
  </si>
  <si>
    <t>GPIO1_A2</t>
  </si>
  <si>
    <t>uart3_rxd</t>
  </si>
  <si>
    <t>SPI_M2_MISO</t>
  </si>
  <si>
    <t>CLK_AUX2_2</t>
  </si>
  <si>
    <t>PWM05</t>
  </si>
  <si>
    <t>SEN_FLASH_D0</t>
  </si>
  <si>
    <t>DB_GPIO30</t>
  </si>
  <si>
    <t>GPIO1_A3</t>
  </si>
  <si>
    <t>micp_l_d</t>
  </si>
  <si>
    <t>DMIC_DIN</t>
  </si>
  <si>
    <t>DEBUG_BUS0</t>
  </si>
  <si>
    <t>DB_GPIO31</t>
  </si>
  <si>
    <t>GPIO1_A4</t>
  </si>
  <si>
    <t>micn_l_d</t>
  </si>
  <si>
    <t>DMIC_CLK</t>
  </si>
  <si>
    <t>DEBUG_BUS1</t>
  </si>
  <si>
    <t>DB_GPIO32</t>
  </si>
  <si>
    <t>GPIO1_A5</t>
  </si>
  <si>
    <t>micn_r_d</t>
  </si>
  <si>
    <t>USB_OVRCUR</t>
  </si>
  <si>
    <t>DB_GPIO33</t>
  </si>
  <si>
    <t>GPIO1_A6</t>
  </si>
  <si>
    <t>micp_r_d</t>
  </si>
  <si>
    <t>USB_POWER_EN</t>
  </si>
  <si>
    <t>DB_GPIO34</t>
  </si>
  <si>
    <t>GPIO1_A7</t>
  </si>
  <si>
    <t>emac_ptp_pps0</t>
  </si>
  <si>
    <t>DPI_D17</t>
  </si>
  <si>
    <t>PWM0_M</t>
  </si>
  <si>
    <t>UART5_CTS</t>
  </si>
  <si>
    <t>SEN_FLASH_D5</t>
  </si>
  <si>
    <t>DB_GPIO35</t>
  </si>
  <si>
    <t>GPIO1_A8</t>
  </si>
  <si>
    <t>emac_ptp_pps1</t>
  </si>
  <si>
    <t>DPI_D16</t>
  </si>
  <si>
    <t>PWM1_M</t>
  </si>
  <si>
    <t>UART5_RTS</t>
  </si>
  <si>
    <t>SEN_VSYNC_D0</t>
  </si>
  <si>
    <t>DB_GPIO36</t>
  </si>
  <si>
    <t>GPIO1_A9</t>
  </si>
  <si>
    <t>emac_ptp_pps2</t>
  </si>
  <si>
    <t>DPI_D18</t>
  </si>
  <si>
    <t>SD_CARD_DETECT_N</t>
  </si>
  <si>
    <t>UART5_TXD</t>
  </si>
  <si>
    <t>DB_GPIO37</t>
  </si>
  <si>
    <t>GPIO1_A10</t>
  </si>
  <si>
    <t>emac_ptp_pps3</t>
  </si>
  <si>
    <t>DPI_D15</t>
  </si>
  <si>
    <t>PWM2_M</t>
  </si>
  <si>
    <t>UART5_RXD</t>
  </si>
  <si>
    <t>DB_GPIO38</t>
  </si>
  <si>
    <t>GPIO1_A11</t>
  </si>
  <si>
    <t>rgmii_mdck</t>
  </si>
  <si>
    <t>DPI_D1</t>
  </si>
  <si>
    <t>PWM5_M</t>
  </si>
  <si>
    <t>SEN_FLASH_D1_M</t>
  </si>
  <si>
    <t>DB_GPIO51</t>
  </si>
  <si>
    <t>GPIO1_A24</t>
  </si>
  <si>
    <t>rgmii_mdio</t>
  </si>
  <si>
    <t>DPI_D2</t>
  </si>
  <si>
    <t>PWM6_M</t>
  </si>
  <si>
    <t>SEN_FLASH_D2_M</t>
  </si>
  <si>
    <t>DB_GPIO52</t>
  </si>
  <si>
    <t>GPIO1_A25</t>
  </si>
  <si>
    <t>ephy_clk</t>
  </si>
  <si>
    <t>DPI_PCLK</t>
  </si>
  <si>
    <t>CLK_AUX1_2</t>
  </si>
  <si>
    <t>SEN_FLASH_D3_M</t>
  </si>
  <si>
    <t>DB_GPIO53</t>
  </si>
  <si>
    <t>GPIO1_A26</t>
  </si>
  <si>
    <t>ephy_rstn</t>
  </si>
  <si>
    <t>DPI_D0</t>
  </si>
  <si>
    <t>PWM7_M</t>
  </si>
  <si>
    <t>SEN_FLASH_D4_M</t>
  </si>
  <si>
    <t>SPI_M2_CS0_M</t>
  </si>
  <si>
    <t>DB_GPIO54</t>
  </si>
  <si>
    <t>GPIO1_A27</t>
  </si>
  <si>
    <t>ephy_led0</t>
  </si>
  <si>
    <t>RGMII_MDCK_M</t>
  </si>
  <si>
    <t>TE0</t>
  </si>
  <si>
    <t>SEN_FLASH_D5_M</t>
  </si>
  <si>
    <t>SPI_M2_CS3_M</t>
  </si>
  <si>
    <t>DB_GPIO55</t>
  </si>
  <si>
    <t>GPIO1_A28</t>
  </si>
  <si>
    <t>ephy_led1</t>
  </si>
  <si>
    <t>RGMII_MDIO_M</t>
  </si>
  <si>
    <t>TE1</t>
  </si>
  <si>
    <t>SEN_ELEC_PLS_M</t>
  </si>
  <si>
    <t>SPI_M2_CS2_M</t>
  </si>
  <si>
    <t>DB_GPIO56</t>
  </si>
  <si>
    <t>GPIO1_A29</t>
  </si>
  <si>
    <t>rgmii_rxd0</t>
  </si>
  <si>
    <t>DPI_D5</t>
  </si>
  <si>
    <t>DEBUG_BUS6</t>
  </si>
  <si>
    <t>UART0_CTS</t>
  </si>
  <si>
    <t>DB_GPIO39</t>
  </si>
  <si>
    <t>GPIO1_A12</t>
  </si>
  <si>
    <t>rgmii_rxd1</t>
  </si>
  <si>
    <t>DPI_D6</t>
  </si>
  <si>
    <t>DEBUG_BUS7</t>
  </si>
  <si>
    <t>UART0_RTS</t>
  </si>
  <si>
    <t>DB_GPIO40</t>
  </si>
  <si>
    <t>GPIO1_A13</t>
  </si>
  <si>
    <t>rgmii_rxdv</t>
  </si>
  <si>
    <t>DPI_D4</t>
  </si>
  <si>
    <t>DEBUG_BUS8</t>
  </si>
  <si>
    <t>DB_GPIO41</t>
  </si>
  <si>
    <t>GPIO1_A14</t>
  </si>
  <si>
    <t>rgmii_rxclk</t>
  </si>
  <si>
    <t>DPI_D3</t>
  </si>
  <si>
    <t>DEBUG_BUS9</t>
  </si>
  <si>
    <t>DB_GPIO42</t>
  </si>
  <si>
    <t>GPIO1_A15</t>
  </si>
  <si>
    <t>rgmii_rxd2</t>
  </si>
  <si>
    <t>DPI_D7</t>
  </si>
  <si>
    <t>DB_GPIO43</t>
  </si>
  <si>
    <t>GPIO1_A16</t>
  </si>
  <si>
    <t>rgmii_rxd3</t>
  </si>
  <si>
    <t>DPI_D8</t>
  </si>
  <si>
    <t>DB_GPIO44</t>
  </si>
  <si>
    <t>GPIO1_A17</t>
  </si>
  <si>
    <t>rgmii_txd0</t>
  </si>
  <si>
    <t>DPI_D11</t>
  </si>
  <si>
    <t>DEBUG_BUS2</t>
  </si>
  <si>
    <t>MCLK1</t>
  </si>
  <si>
    <t>SPI_M2_MOSI_M</t>
  </si>
  <si>
    <t>DB_GPIO45</t>
  </si>
  <si>
    <t>GPIO1_A18</t>
  </si>
  <si>
    <t>rgmii_txd1</t>
  </si>
  <si>
    <t>DPI_D12</t>
  </si>
  <si>
    <t>DEBUG_BUS3</t>
  </si>
  <si>
    <t>SEN_HSYNC_D0_M</t>
  </si>
  <si>
    <t>SPI_M2_MISO_M</t>
  </si>
  <si>
    <t>DB_GPIO46</t>
  </si>
  <si>
    <t>GPIO1_A19</t>
  </si>
  <si>
    <t>rgmii_txclk</t>
  </si>
  <si>
    <t>DPI_D9</t>
  </si>
  <si>
    <t>DEBUG_BUS4</t>
  </si>
  <si>
    <t>SEN_HSYNC_D1_M</t>
  </si>
  <si>
    <t>SPI_M2_SCLK_M</t>
  </si>
  <si>
    <t>DB_GPIO47</t>
  </si>
  <si>
    <t>GPIO1_A20</t>
  </si>
  <si>
    <t>rgmii_txen</t>
  </si>
  <si>
    <t>DPI_D10</t>
  </si>
  <si>
    <t>DEBUG_BUS5</t>
  </si>
  <si>
    <t>SEN_VSYNC_D0_M</t>
  </si>
  <si>
    <t>SPI_M2_CS1_M</t>
  </si>
  <si>
    <t>DB_GPIO48</t>
  </si>
  <si>
    <t>GPIO1_A21</t>
  </si>
  <si>
    <t>ANALOG_TEST14</t>
  </si>
  <si>
    <t>rgmii_txd2</t>
  </si>
  <si>
    <t>DPI_D13</t>
  </si>
  <si>
    <t>PWM3_M</t>
  </si>
  <si>
    <t>SEN_VSYNC_D1_M</t>
  </si>
  <si>
    <t>DB_GPIO49</t>
  </si>
  <si>
    <t>GPIO1_A22</t>
  </si>
  <si>
    <t>rgmii_txd3</t>
  </si>
  <si>
    <t>DPI_D14</t>
  </si>
  <si>
    <t>PWM4_M</t>
  </si>
  <si>
    <t>SEN_FLASH_D0_M</t>
  </si>
  <si>
    <t>DB_GPIO50</t>
  </si>
  <si>
    <t>GPIO1_A23</t>
  </si>
  <si>
    <t>sd_dat0</t>
  </si>
  <si>
    <t>DEBUG_BUS10</t>
  </si>
  <si>
    <t>MCLK2</t>
  </si>
  <si>
    <t>DB_GPIO63</t>
  </si>
  <si>
    <t>GPIO2_A4</t>
  </si>
  <si>
    <t>sd_dat1</t>
  </si>
  <si>
    <t>DEBUG_BUS11</t>
  </si>
  <si>
    <t>MCLK3</t>
  </si>
  <si>
    <t>DB_GPIO64</t>
  </si>
  <si>
    <t>GPIO2_A5</t>
  </si>
  <si>
    <t>sd_clk</t>
  </si>
  <si>
    <t>DEBUG_BUS12</t>
  </si>
  <si>
    <t>DB_GPIO65</t>
  </si>
  <si>
    <t>GPIO2_A6</t>
  </si>
  <si>
    <t>sd_cmd</t>
  </si>
  <si>
    <t>I2C_S1_SDA</t>
  </si>
  <si>
    <t>DEBUG_BUS13</t>
  </si>
  <si>
    <t>DB_GPIO66</t>
  </si>
  <si>
    <t>GPIO2_A7</t>
  </si>
  <si>
    <t>sd_dat2</t>
  </si>
  <si>
    <t>I2C_S1_SCL</t>
  </si>
  <si>
    <t>DEBUG_BUS14</t>
  </si>
  <si>
    <t>MCLK4</t>
  </si>
  <si>
    <t>DB_GPIO67</t>
  </si>
  <si>
    <t>GPIO2_A8</t>
  </si>
  <si>
    <t>sd_dat3</t>
  </si>
  <si>
    <t>DEBUG_BUS15</t>
  </si>
  <si>
    <t>MCLK5</t>
  </si>
  <si>
    <t>DB_GPIO68</t>
  </si>
  <si>
    <t>GPIO2_A9</t>
  </si>
  <si>
    <t>emmc_dat5</t>
  </si>
  <si>
    <t>DB_GPIO83</t>
  </si>
  <si>
    <t>GPIO2_A24</t>
  </si>
  <si>
    <t>emmc_reset_n</t>
  </si>
  <si>
    <t>DB_GPIO82</t>
  </si>
  <si>
    <t>GPIO2_A23</t>
  </si>
  <si>
    <t>emmc_dat4</t>
  </si>
  <si>
    <t>SFC_CSN1</t>
  </si>
  <si>
    <t>DB_GPIO84</t>
  </si>
  <si>
    <t>GPIO2_A25</t>
  </si>
  <si>
    <t>emmc_dat6</t>
  </si>
  <si>
    <t>DB_GPIO80</t>
  </si>
  <si>
    <t>GPIO2_A21</t>
  </si>
  <si>
    <t>emmc_ds</t>
  </si>
  <si>
    <t>DB_GPIO81</t>
  </si>
  <si>
    <t>GPIO2_A22</t>
  </si>
  <si>
    <t>emmc_dat7</t>
  </si>
  <si>
    <t>DB_GPIO79</t>
  </si>
  <si>
    <t>GPIO2_A20</t>
  </si>
  <si>
    <t>emmc_dat3</t>
  </si>
  <si>
    <t>SFC_HOLD_IO3</t>
  </si>
  <si>
    <t>DB_GPIO85</t>
  </si>
  <si>
    <t>GPIO2_A26</t>
  </si>
  <si>
    <t>SPI2AHB_CS</t>
  </si>
  <si>
    <t>emmc_dat2</t>
  </si>
  <si>
    <t>SFC_WP_IO2</t>
  </si>
  <si>
    <t>DB_GPIO86</t>
  </si>
  <si>
    <t>GPIO2_A27</t>
  </si>
  <si>
    <t>SPI2AHB_DATA0</t>
  </si>
  <si>
    <t>emmc_clk</t>
  </si>
  <si>
    <t>SFC_CLK</t>
  </si>
  <si>
    <t>DB_GPIO87</t>
  </si>
  <si>
    <t>GPIO2_A28</t>
  </si>
  <si>
    <t>SPI2AHB_DATA1</t>
  </si>
  <si>
    <t>emmc_dat0</t>
  </si>
  <si>
    <t>SFC_MOSI_IO0</t>
  </si>
  <si>
    <t>DB_GPIO15</t>
  </si>
  <si>
    <t>GPIO0_A20</t>
  </si>
  <si>
    <t>SPI2AHB_DATA2</t>
  </si>
  <si>
    <t>emmc_cmd</t>
  </si>
  <si>
    <t>SFC_CSN0</t>
  </si>
  <si>
    <t>DB_GPIO88</t>
  </si>
  <si>
    <t>GPIO2_A29</t>
  </si>
  <si>
    <t>SPI2AHB_DATA3</t>
  </si>
  <si>
    <t>emmc_dat1</t>
  </si>
  <si>
    <t>SFC_MISO_IO1</t>
  </si>
  <si>
    <t>DB_GPIO89</t>
  </si>
  <si>
    <t>GPIO0_A19</t>
  </si>
  <si>
    <t>SPI2AHB_CLK</t>
  </si>
  <si>
    <t>sdio_dat0</t>
  </si>
  <si>
    <t>I2C3_SCL</t>
  </si>
  <si>
    <t>I2S1_DOUT</t>
  </si>
  <si>
    <t>PWM08</t>
  </si>
  <si>
    <t>DB_GPIO57</t>
  </si>
  <si>
    <t>GPIO1_A30</t>
  </si>
  <si>
    <t>sdio_dat1</t>
  </si>
  <si>
    <t>I2C3_SDA</t>
  </si>
  <si>
    <t>I2S1_SCLK</t>
  </si>
  <si>
    <t>PWM09</t>
  </si>
  <si>
    <t>DB_GPIO58</t>
  </si>
  <si>
    <t>GPIO1_A31</t>
  </si>
  <si>
    <t>sdio_clk</t>
  </si>
  <si>
    <t>EPHY_CLK_M</t>
  </si>
  <si>
    <t>I2C2_SCL</t>
  </si>
  <si>
    <t>I2S1_MCLK</t>
  </si>
  <si>
    <t>CLK_AUX2_0</t>
  </si>
  <si>
    <t>DB_GPIO59</t>
  </si>
  <si>
    <t>GPIO2_A0</t>
  </si>
  <si>
    <t>sdio_cmd</t>
  </si>
  <si>
    <t>I2C2_SDA</t>
  </si>
  <si>
    <t>I2S1_LRCK</t>
  </si>
  <si>
    <t>DB_GPIO60</t>
  </si>
  <si>
    <t>GPIO2_A1</t>
  </si>
  <si>
    <t>sdio_dat2</t>
  </si>
  <si>
    <t>I2C4_SCL</t>
  </si>
  <si>
    <t>I2S1_DIN1</t>
  </si>
  <si>
    <t>DB_GPIO61</t>
  </si>
  <si>
    <t>GPIO2_A2</t>
  </si>
  <si>
    <t>sdio_dat3</t>
  </si>
  <si>
    <t>I2C4_SDA</t>
  </si>
  <si>
    <t>I2S1_DIN0</t>
  </si>
  <si>
    <t>DB_GPIO62</t>
  </si>
  <si>
    <t>GPIO2_A3</t>
  </si>
  <si>
    <t>test</t>
  </si>
  <si>
    <t>hplp</t>
  </si>
  <si>
    <t>hpln</t>
  </si>
  <si>
    <t>hprn</t>
  </si>
  <si>
    <t>hprp</t>
  </si>
  <si>
    <t>micp_l</t>
  </si>
  <si>
    <t>micn_l</t>
  </si>
  <si>
    <t>vcap</t>
  </si>
  <si>
    <t>mic_bias0</t>
  </si>
  <si>
    <t>mic_bias1</t>
  </si>
  <si>
    <t>micn_r</t>
  </si>
  <si>
    <t>micp_r</t>
  </si>
  <si>
    <t>cdrx_l0n</t>
  </si>
  <si>
    <t>VI_D10</t>
  </si>
  <si>
    <t>cdrx_l0p</t>
  </si>
  <si>
    <t>VI_D11</t>
  </si>
  <si>
    <t>cdrx_l1n</t>
  </si>
  <si>
    <t>VI_D12</t>
  </si>
  <si>
    <t>cdrx_l1p</t>
  </si>
  <si>
    <t>VI_D13</t>
  </si>
  <si>
    <t>cdrx_l2n</t>
  </si>
  <si>
    <t>VI_D14</t>
  </si>
  <si>
    <t>cdrx_l2p</t>
  </si>
  <si>
    <t>VI_D15</t>
  </si>
  <si>
    <t>cdrx_l3n</t>
  </si>
  <si>
    <t>VI_D16</t>
  </si>
  <si>
    <t>cdrx_l3p</t>
  </si>
  <si>
    <t>VI_D17</t>
  </si>
  <si>
    <t>cdrx_l4n</t>
  </si>
  <si>
    <t>VI_D18</t>
  </si>
  <si>
    <t>cdrx_l4p</t>
  </si>
  <si>
    <t>VI_D19</t>
  </si>
  <si>
    <t>cdrx_l5n</t>
  </si>
  <si>
    <t>VI_CLK1</t>
  </si>
  <si>
    <t>cdrx_l5p</t>
  </si>
  <si>
    <t>VI_D20</t>
  </si>
  <si>
    <t>CDTX_L0N</t>
  </si>
  <si>
    <t>CDTX_L0P</t>
  </si>
  <si>
    <t>CDTX_L1N</t>
  </si>
  <si>
    <t>CDTX_L1P</t>
  </si>
  <si>
    <t>CDTX_L2N</t>
  </si>
  <si>
    <t>CDTX_L2P</t>
  </si>
  <si>
    <t>CDTX_L3N</t>
  </si>
  <si>
    <t>CDTX_L3P</t>
  </si>
  <si>
    <t>CDTX_L4N</t>
  </si>
  <si>
    <t>CDTX_L4P</t>
  </si>
  <si>
    <r>
      <t>dphy</t>
    </r>
    <r>
      <rPr>
        <sz val="11"/>
        <color theme="1"/>
        <rFont val="等线"/>
        <family val="3"/>
        <charset val="134"/>
        <scheme val="minor"/>
      </rPr>
      <t>t</t>
    </r>
    <r>
      <rPr>
        <sz val="11"/>
        <color theme="1"/>
        <rFont val="等线"/>
        <family val="3"/>
        <charset val="134"/>
        <scheme val="minor"/>
      </rPr>
      <t>x</t>
    </r>
    <phoneticPr fontId="3" type="noConversion"/>
  </si>
  <si>
    <t>0x230A000</t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</si>
  <si>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</si>
  <si>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9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</si>
  <si>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5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</si>
  <si>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</si>
  <si>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</si>
  <si>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t>0x2301000</t>
    <phoneticPr fontId="3" type="noConversion"/>
  </si>
  <si>
    <t>0x2300000</t>
    <phoneticPr fontId="3" type="noConversion"/>
  </si>
  <si>
    <r>
      <t>0x104F</t>
    </r>
    <r>
      <rPr>
        <sz val="11"/>
        <color theme="1"/>
        <rFont val="等线"/>
        <family val="3"/>
        <charset val="134"/>
        <scheme val="minor"/>
      </rPr>
      <t>0000</t>
    </r>
    <phoneticPr fontId="3" type="noConversion"/>
  </si>
  <si>
    <t>0x104F1000</t>
    <phoneticPr fontId="3" type="noConversion"/>
  </si>
  <si>
    <t>0x104F2000</t>
    <phoneticPr fontId="3" type="noConversion"/>
  </si>
  <si>
    <r>
      <t>s</t>
    </r>
    <r>
      <rPr>
        <sz val="11"/>
        <color theme="1"/>
        <rFont val="等线"/>
        <family val="3"/>
        <charset val="134"/>
        <scheme val="minor"/>
      </rPr>
      <t>ensor_rstn1</t>
    </r>
    <phoneticPr fontId="3" type="noConversion"/>
  </si>
  <si>
    <t>sensor_rstn2</t>
    <phoneticPr fontId="3" type="noConversion"/>
  </si>
  <si>
    <r>
      <t>s</t>
    </r>
    <r>
      <rPr>
        <sz val="11"/>
        <color theme="1"/>
        <rFont val="等线"/>
        <family val="3"/>
        <charset val="134"/>
        <scheme val="minor"/>
      </rPr>
      <t>ensor_RSTN0</t>
    </r>
    <phoneticPr fontId="3" type="noConversion"/>
  </si>
  <si>
    <r>
      <t>N</t>
    </r>
    <r>
      <rPr>
        <sz val="11"/>
        <color theme="1"/>
        <rFont val="等线"/>
        <family val="3"/>
        <charset val="134"/>
        <scheme val="minor"/>
      </rPr>
      <t>ULL</t>
    </r>
    <phoneticPr fontId="3" type="noConversion"/>
  </si>
  <si>
    <t>NULL</t>
  </si>
  <si>
    <r>
      <t>n</t>
    </r>
    <r>
      <rPr>
        <sz val="11"/>
        <color theme="1"/>
        <rFont val="等线"/>
        <family val="3"/>
        <charset val="134"/>
        <scheme val="minor"/>
      </rPr>
      <t>a</t>
    </r>
    <phoneticPr fontId="3" type="noConversion"/>
  </si>
  <si>
    <t>cdtx_l0n</t>
  </si>
  <si>
    <t>BT656_CLK</t>
  </si>
  <si>
    <t>SPI_M0_SCLK</t>
  </si>
  <si>
    <t>DB_GPIO69</t>
  </si>
  <si>
    <t>GPIO2_A10</t>
  </si>
  <si>
    <t>cdtx_l0p</t>
  </si>
  <si>
    <t>BT656_D0</t>
  </si>
  <si>
    <t>SPI_M0_MISO</t>
  </si>
  <si>
    <t>DB_GPIO70</t>
  </si>
  <si>
    <t>GPIO2_A11</t>
  </si>
  <si>
    <t>cdtx_l1n</t>
  </si>
  <si>
    <t>BT656_D1</t>
  </si>
  <si>
    <t>SPI_M0_CS0</t>
  </si>
  <si>
    <t>DB_GPIO71</t>
  </si>
  <si>
    <t>GPIO2_A12</t>
  </si>
  <si>
    <t>cdtx_l1p</t>
  </si>
  <si>
    <t>BT656_D2</t>
  </si>
  <si>
    <t>SPI_M0_CS1</t>
  </si>
  <si>
    <t>DB_GPIO72</t>
  </si>
  <si>
    <t>GPIO2_A13</t>
  </si>
  <si>
    <t>cdtx_l2n</t>
  </si>
  <si>
    <t>BT656_D3</t>
  </si>
  <si>
    <t>SPI_M0_CS2</t>
  </si>
  <si>
    <t>DB_GPIO73</t>
  </si>
  <si>
    <t>GPIO2_A14</t>
  </si>
  <si>
    <t>cdtx_l2p</t>
  </si>
  <si>
    <t>BT656_D4</t>
  </si>
  <si>
    <t>SPI_M0_MOSI</t>
  </si>
  <si>
    <t>DB_GPIO74</t>
  </si>
  <si>
    <t>GPIO2_A15</t>
  </si>
  <si>
    <t>cdtx_l3n</t>
  </si>
  <si>
    <t>BT656_D5</t>
  </si>
  <si>
    <t>SPI_M0_CS3</t>
  </si>
  <si>
    <t>DB_GPIO75</t>
  </si>
  <si>
    <t>GPIO2_A16</t>
  </si>
  <si>
    <t>cdtx_l3p</t>
  </si>
  <si>
    <t>BT656_D6</t>
  </si>
  <si>
    <t>DB_GPIO76</t>
  </si>
  <si>
    <t>GPIO2_A17</t>
  </si>
  <si>
    <t>cdtx_l4n</t>
  </si>
  <si>
    <t>BT656_D7</t>
  </si>
  <si>
    <t>DB_GPIO77</t>
  </si>
  <si>
    <t>GPIO2_A18</t>
  </si>
  <si>
    <t>cdtx_l4p</t>
  </si>
  <si>
    <t>DB_GPIO78</t>
  </si>
  <si>
    <t>GPIO2_A19</t>
  </si>
  <si>
    <t>ps[7]</t>
    <phoneticPr fontId="3" type="noConversion"/>
  </si>
  <si>
    <r>
      <t>p</t>
    </r>
    <r>
      <rPr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3"/>
        <charset val="134"/>
        <scheme val="minor"/>
      </rPr>
      <t>[6]</t>
    </r>
    <phoneticPr fontId="3" type="noConversion"/>
  </si>
  <si>
    <r>
      <t>这个P</t>
    </r>
    <r>
      <rPr>
        <sz val="11"/>
        <color theme="1"/>
        <rFont val="等线"/>
        <family val="3"/>
        <charset val="134"/>
        <scheme val="minor"/>
      </rPr>
      <t>IN是外部上下拉电阻选择</t>
    </r>
    <phoneticPr fontId="3" type="noConversion"/>
  </si>
  <si>
    <r>
      <t>t</t>
    </r>
    <r>
      <rPr>
        <sz val="11"/>
        <color theme="1"/>
        <rFont val="等线"/>
        <family val="3"/>
        <charset val="134"/>
        <scheme val="minor"/>
      </rPr>
      <t>x_rstn</t>
    </r>
    <phoneticPr fontId="3" type="noConversion"/>
  </si>
  <si>
    <r>
      <t>g</t>
    </r>
    <r>
      <rPr>
        <sz val="11"/>
        <color theme="1"/>
        <rFont val="等线"/>
        <family val="3"/>
        <charset val="134"/>
        <scheme val="minor"/>
      </rPr>
      <t>pio_exp_int_n</t>
    </r>
    <phoneticPr fontId="3" type="noConversion"/>
  </si>
  <si>
    <t>not use</t>
    <phoneticPr fontId="3" type="noConversion"/>
  </si>
  <si>
    <t>Board ID = 0 for 630C EVB
Board ID = 2 for 620V200 EVB</t>
    <phoneticPr fontId="3" type="noConversion"/>
  </si>
  <si>
    <t>DEFAULT FUNC</t>
  </si>
  <si>
    <t>explain</t>
    <phoneticPr fontId="3" type="noConversion"/>
  </si>
  <si>
    <t>sleep_ps[29]</t>
    <phoneticPr fontId="3" type="noConversion"/>
  </si>
  <si>
    <r>
      <t>sleep_p</t>
    </r>
    <r>
      <rPr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3"/>
        <charset val="134"/>
        <scheme val="minor"/>
      </rPr>
      <t>[28]</t>
    </r>
    <phoneticPr fontId="3" type="noConversion"/>
  </si>
  <si>
    <t>1. pu[7]: pull up
2. pd[6]: pull down
3. pe[6]: pull enable, high active
4. ps[7]: pull selection; 0 pulldown; 1 pullup
5. st[4]: schmitt trigger
6. ds[3:0]: drive strength
SLEEP_CTRL: 休眠模式下，驱动能力是一组共用一个驱动能力配置，sleep_ctrl是配置休眠模式下的此组驱动能力【3:0】，休眠模式下的上下拉，输入输出配置则是每个pin单独控制</t>
    <phoneticPr fontId="3" type="noConversion"/>
  </si>
  <si>
    <t>SLEEP_CTRL</t>
  </si>
  <si>
    <t>0x4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</si>
</sst>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charset val="134"/>
      <scheme val="minor"/>
    </font>
    <font>
      <sz val="11"/>
      <color theme="1"/>
      <name val="等线 Light"/>
      <family val="3"/>
      <charset val="134"/>
      <scheme val="major"/>
    </font>
    <font>
      <sz val="10"/>
      <name val="等线 Light"/>
      <family val="3"/>
      <charset val="134"/>
      <scheme val="maj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4"/>
      <color rgb="FFFF0000"/>
      <name val="等线"/>
      <family val="3"/>
      <charset val="134"/>
    </font>
    <font>
      <sz val="11"/>
      <color theme="1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left" vertical="top"/>
    </xf>
    <xf numFmtId="0" fontId="2" fillId="2" borderId="2" xfId="0" applyFont="1" applyFill="1" applyBorder="1" applyAlignment="1">
      <alignment horizontal="left" vertical="top"/>
    </xf>
    <xf numFmtId="0" fontId="0" fillId="2" borderId="2" xfId="0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0" fillId="6" borderId="2" xfId="0" applyFill="1" applyBorder="1"/>
    <xf numFmtId="0" fontId="0" fillId="0" borderId="3" xfId="0" applyBorder="1"/>
    <xf numFmtId="0" fontId="4" fillId="0" borderId="3" xfId="0" applyFont="1" applyBorder="1"/>
    <xf numFmtId="0" fontId="4" fillId="6" borderId="2" xfId="0" applyFont="1" applyFill="1" applyBorder="1"/>
    <xf numFmtId="0" fontId="0" fillId="0" borderId="2" xfId="0" applyFill="1" applyBorder="1"/>
    <xf numFmtId="0" fontId="0" fillId="0" borderId="0" xfId="0" applyFill="1"/>
    <xf numFmtId="0" fontId="0" fillId="0" borderId="3" xfId="0" applyFill="1" applyBorder="1"/>
    <xf numFmtId="0" fontId="4" fillId="0" borderId="3" xfId="0" applyFont="1" applyFill="1" applyBorder="1"/>
    <xf numFmtId="0" fontId="6" fillId="0" borderId="2" xfId="0" applyFont="1" applyFill="1" applyBorder="1"/>
    <xf numFmtId="0" fontId="4" fillId="0" borderId="0" xfId="0" applyFont="1" applyFill="1" applyAlignment="1">
      <alignment wrapText="1"/>
    </xf>
    <xf numFmtId="0" fontId="0" fillId="6" borderId="8" xfId="0" applyFont="1" applyFill="1" applyBorder="1" applyAlignment="1">
      <alignment horizontal="center"/>
    </xf>
    <xf numFmtId="0" fontId="4" fillId="5" borderId="2" xfId="0" applyFont="1" applyFill="1" applyBorder="1"/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left" vertical="center" wrapText="1"/>
    </xf>
    <xf numFmtId="0" fontId="0" fillId="4" borderId="9" xfId="0" applyFill="1" applyBorder="1" applyAlignment="1">
      <alignment horizontal="left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3" xfId="0" applyBorder="1" applyProtection="1">
      <protection locked="0"/>
    </xf>
    <xf numFmtId="0" fontId="4" fillId="0" borderId="3" xfId="0" applyFont="1" applyBorder="1" applyProtection="1"/>
    <xf numFmtId="0" fontId="0" fillId="0" borderId="3" xfId="0" applyFill="1" applyBorder="1" applyProtection="1"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9525</xdr:rowOff>
        </xdr:from>
        <xdr:to>
          <xdr:col>1</xdr:col>
          <xdr:colOff>1123950</xdr:colOff>
          <xdr:row>2</xdr:row>
          <xdr:rowOff>704850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90"/>
  <sheetViews>
    <sheetView topLeftCell="A40" zoomScale="70" zoomScaleNormal="70" workbookViewId="0">
      <selection activeCell="B80" sqref="A80:XFD80"/>
    </sheetView>
  </sheetViews>
  <sheetFormatPr defaultColWidth="9" defaultRowHeight="14.25" x14ac:dyDescent="0.2"/>
  <cols>
    <col min="1" max="1" width="14.875" style="13" customWidth="1"/>
    <col min="2" max="2" width="30.125" style="13" customWidth="1"/>
    <col min="3" max="3" width="12.625" style="13" customWidth="1"/>
    <col min="4" max="4" width="6.5" style="13" customWidth="1"/>
    <col min="5" max="6" width="12.25" style="13" customWidth="1"/>
    <col min="7" max="8" width="11.375" style="13" customWidth="1"/>
    <col min="9" max="9" width="12.125" style="13" customWidth="1"/>
    <col min="10" max="10" width="12.375" style="13" customWidth="1"/>
    <col min="11" max="12" width="12.125" style="13" customWidth="1"/>
    <col min="13" max="13" width="18.75" style="13" customWidth="1"/>
    <col min="14" max="15" width="5.875" style="13" customWidth="1"/>
    <col min="16" max="16" width="5.125" style="13" customWidth="1"/>
    <col min="17" max="17" width="7" style="13" customWidth="1"/>
    <col min="18" max="18" width="12.5" style="13" customWidth="1"/>
    <col min="19" max="19" width="38.125" style="13" customWidth="1"/>
    <col min="20" max="16384" width="9" style="13"/>
  </cols>
  <sheetData>
    <row r="1" spans="1:19" ht="28.5" x14ac:dyDescent="0.2">
      <c r="B1" s="17" t="s">
        <v>768</v>
      </c>
    </row>
    <row r="3" spans="1:19" ht="45.75" customHeight="1" x14ac:dyDescent="0.2"/>
    <row r="4" spans="1:19" customFormat="1" x14ac:dyDescent="0.2">
      <c r="A4" s="5" t="s">
        <v>0</v>
      </c>
      <c r="B4" s="5" t="s">
        <v>1</v>
      </c>
      <c r="C4" s="6" t="s">
        <v>2</v>
      </c>
      <c r="D4" s="6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8</v>
      </c>
      <c r="J4" s="7" t="s">
        <v>9</v>
      </c>
      <c r="K4" s="7" t="s">
        <v>10</v>
      </c>
      <c r="L4" s="8" t="s">
        <v>11</v>
      </c>
      <c r="M4" s="8" t="s">
        <v>12</v>
      </c>
      <c r="N4" s="8" t="s">
        <v>13</v>
      </c>
      <c r="O4" s="8" t="s">
        <v>14</v>
      </c>
      <c r="P4" s="8" t="s">
        <v>15</v>
      </c>
      <c r="Q4" s="8" t="s">
        <v>16</v>
      </c>
      <c r="R4" s="4" t="s">
        <v>17</v>
      </c>
      <c r="S4" s="18" t="s">
        <v>770</v>
      </c>
    </row>
    <row r="5" spans="1:19" customFormat="1" x14ac:dyDescent="0.2">
      <c r="A5" s="20" t="s">
        <v>18</v>
      </c>
      <c r="B5" s="10" t="s">
        <v>774</v>
      </c>
      <c r="C5" s="28" t="s">
        <v>706</v>
      </c>
      <c r="D5" s="10" t="s">
        <v>775</v>
      </c>
      <c r="E5" s="35"/>
      <c r="F5" s="35"/>
      <c r="G5" s="35"/>
      <c r="H5" s="35"/>
      <c r="I5" s="35"/>
      <c r="J5" s="35"/>
      <c r="K5" s="35"/>
      <c r="L5" s="36"/>
      <c r="M5" s="9"/>
      <c r="N5" s="9"/>
      <c r="O5" s="9"/>
      <c r="P5" s="9"/>
      <c r="Q5" s="9">
        <v>1</v>
      </c>
      <c r="R5" s="9"/>
      <c r="S5" s="26" t="s">
        <v>773</v>
      </c>
    </row>
    <row r="6" spans="1:19" x14ac:dyDescent="0.2">
      <c r="A6" s="21"/>
      <c r="B6" s="14" t="s">
        <v>19</v>
      </c>
      <c r="C6" s="25"/>
      <c r="D6" s="14" t="s">
        <v>20</v>
      </c>
      <c r="E6" s="14"/>
      <c r="F6" s="14"/>
      <c r="G6" s="14"/>
      <c r="H6" s="14"/>
      <c r="I6" s="14"/>
      <c r="J6" s="14"/>
      <c r="K6" s="14"/>
      <c r="L6" s="14">
        <f>IF(LEN(M6)=0,"",MATCH($M6,INDEX(params!$B$3:$I$125,MATCH($B6,params!$A$3:$A$125,0),),0)-1)</f>
        <v>4</v>
      </c>
      <c r="M6" s="14" t="s">
        <v>175</v>
      </c>
      <c r="N6" s="14">
        <v>0</v>
      </c>
      <c r="O6" s="14">
        <v>0</v>
      </c>
      <c r="P6" s="14">
        <v>0</v>
      </c>
      <c r="Q6" s="14">
        <v>3</v>
      </c>
      <c r="R6" s="14"/>
      <c r="S6" s="26"/>
    </row>
    <row r="7" spans="1:19" x14ac:dyDescent="0.2">
      <c r="A7" s="21"/>
      <c r="B7" s="14" t="s">
        <v>21</v>
      </c>
      <c r="C7" s="25"/>
      <c r="D7" s="14" t="s">
        <v>22</v>
      </c>
      <c r="E7" s="14"/>
      <c r="F7" s="14"/>
      <c r="G7" s="14"/>
      <c r="H7" s="14"/>
      <c r="I7" s="14"/>
      <c r="J7" s="14"/>
      <c r="K7" s="14"/>
      <c r="L7" s="14">
        <f>IF(LEN(M7)=0,"",MATCH($M7,INDEX(params!$B$3:$I$125,MATCH($B7,params!$A$3:$A$125,0),),0)-1)</f>
        <v>4</v>
      </c>
      <c r="M7" s="14" t="s">
        <v>183</v>
      </c>
      <c r="N7" s="14">
        <v>0</v>
      </c>
      <c r="O7" s="14">
        <v>0</v>
      </c>
      <c r="P7" s="14">
        <v>0</v>
      </c>
      <c r="Q7" s="14">
        <v>3</v>
      </c>
      <c r="R7" s="14"/>
      <c r="S7" s="27"/>
    </row>
    <row r="8" spans="1:19" x14ac:dyDescent="0.2">
      <c r="A8" s="21"/>
      <c r="B8" s="14" t="s">
        <v>23</v>
      </c>
      <c r="C8" s="25"/>
      <c r="D8" s="14" t="s">
        <v>24</v>
      </c>
      <c r="E8" s="14"/>
      <c r="F8" s="14"/>
      <c r="G8" s="14"/>
      <c r="H8" s="14"/>
      <c r="I8" s="14"/>
      <c r="J8" s="14"/>
      <c r="K8" s="14"/>
      <c r="L8" s="14">
        <f>IF(LEN(M8)=0,"",MATCH($M8,INDEX(params!$B$3:$I$125,MATCH($B8,params!$A$3:$A$125,0),),0)-1)</f>
        <v>4</v>
      </c>
      <c r="M8" s="14" t="s">
        <v>191</v>
      </c>
      <c r="N8" s="14">
        <v>0</v>
      </c>
      <c r="O8" s="14">
        <v>0</v>
      </c>
      <c r="P8" s="14">
        <v>0</v>
      </c>
      <c r="Q8" s="14">
        <v>3</v>
      </c>
      <c r="R8" s="14"/>
      <c r="S8" s="27"/>
    </row>
    <row r="9" spans="1:19" x14ac:dyDescent="0.2">
      <c r="A9" s="21"/>
      <c r="B9" s="14" t="s">
        <v>25</v>
      </c>
      <c r="C9" s="25"/>
      <c r="D9" s="14" t="s">
        <v>26</v>
      </c>
      <c r="E9" s="14"/>
      <c r="F9" s="14"/>
      <c r="G9" s="14"/>
      <c r="H9" s="14"/>
      <c r="I9" s="14"/>
      <c r="J9" s="14"/>
      <c r="K9" s="14"/>
      <c r="L9" s="14">
        <f>IF(LEN(M9)=0,"",MATCH($M9,INDEX(params!$B$3:$I$125,MATCH($B9,params!$A$3:$A$125,0),),0)-1)</f>
        <v>4</v>
      </c>
      <c r="M9" s="14" t="s">
        <v>199</v>
      </c>
      <c r="N9" s="14">
        <v>0</v>
      </c>
      <c r="O9" s="14">
        <v>0</v>
      </c>
      <c r="P9" s="14">
        <v>0</v>
      </c>
      <c r="Q9" s="14">
        <v>3</v>
      </c>
      <c r="R9" s="14"/>
      <c r="S9" s="27"/>
    </row>
    <row r="10" spans="1:19" x14ac:dyDescent="0.2">
      <c r="A10" s="21"/>
      <c r="B10" s="14" t="s">
        <v>27</v>
      </c>
      <c r="C10" s="25"/>
      <c r="D10" s="14" t="s">
        <v>28</v>
      </c>
      <c r="E10" s="14"/>
      <c r="F10" s="14"/>
      <c r="G10" s="14"/>
      <c r="H10" s="14"/>
      <c r="I10" s="14"/>
      <c r="J10" s="14"/>
      <c r="K10" s="14"/>
      <c r="L10" s="14">
        <f>IF(LEN(M10)=0,"",MATCH($M10,INDEX(params!$B$3:$I$125,MATCH($B10,params!$A$3:$A$125,0),),0)-1)</f>
        <v>4</v>
      </c>
      <c r="M10" s="14" t="s">
        <v>207</v>
      </c>
      <c r="N10" s="14">
        <v>0</v>
      </c>
      <c r="O10" s="14">
        <v>0</v>
      </c>
      <c r="P10" s="14">
        <v>0</v>
      </c>
      <c r="Q10" s="14">
        <v>3</v>
      </c>
      <c r="R10" s="14"/>
      <c r="S10" s="27"/>
    </row>
    <row r="11" spans="1:19" x14ac:dyDescent="0.2">
      <c r="A11" s="21"/>
      <c r="B11" s="14" t="s">
        <v>29</v>
      </c>
      <c r="C11" s="25"/>
      <c r="D11" s="14" t="s">
        <v>30</v>
      </c>
      <c r="E11" s="14"/>
      <c r="F11" s="14"/>
      <c r="G11" s="14"/>
      <c r="H11" s="14"/>
      <c r="I11" s="14"/>
      <c r="J11" s="14"/>
      <c r="K11" s="14"/>
      <c r="L11" s="14">
        <f>IF(LEN(M11)=0,"",MATCH($M11,INDEX(params!$B$3:$I$125,MATCH($B11,params!$A$3:$A$125,0),),0)-1)</f>
        <v>0</v>
      </c>
      <c r="M11" s="14" t="s">
        <v>29</v>
      </c>
      <c r="N11" s="14">
        <v>0</v>
      </c>
      <c r="O11" s="14">
        <v>0</v>
      </c>
      <c r="P11" s="14">
        <v>0</v>
      </c>
      <c r="Q11" s="14">
        <v>3</v>
      </c>
      <c r="R11" s="14"/>
      <c r="S11" s="27"/>
    </row>
    <row r="12" spans="1:19" x14ac:dyDescent="0.2">
      <c r="A12" s="21"/>
      <c r="B12" s="14" t="s">
        <v>31</v>
      </c>
      <c r="C12" s="25"/>
      <c r="D12" s="14" t="s">
        <v>32</v>
      </c>
      <c r="E12" s="14"/>
      <c r="F12" s="14"/>
      <c r="G12" s="14"/>
      <c r="H12" s="14"/>
      <c r="I12" s="14"/>
      <c r="J12" s="14"/>
      <c r="K12" s="14"/>
      <c r="L12" s="14">
        <f>IF(LEN(M12)=0,"",MATCH($M12,INDEX(params!$B$3:$I$125,MATCH($B12,params!$A$3:$A$125,0),),0)-1)</f>
        <v>0</v>
      </c>
      <c r="M12" s="14" t="s">
        <v>31</v>
      </c>
      <c r="N12" s="14">
        <v>0</v>
      </c>
      <c r="O12" s="14">
        <v>0</v>
      </c>
      <c r="P12" s="14">
        <v>0</v>
      </c>
      <c r="Q12" s="14">
        <v>3</v>
      </c>
      <c r="R12" s="14"/>
      <c r="S12" s="27"/>
    </row>
    <row r="13" spans="1:19" x14ac:dyDescent="0.2">
      <c r="A13" s="21"/>
      <c r="B13" s="14" t="s">
        <v>33</v>
      </c>
      <c r="C13" s="25"/>
      <c r="D13" s="14" t="s">
        <v>34</v>
      </c>
      <c r="E13" s="14"/>
      <c r="F13" s="14"/>
      <c r="G13" s="14"/>
      <c r="H13" s="14"/>
      <c r="I13" s="14"/>
      <c r="J13" s="14"/>
      <c r="K13" s="14"/>
      <c r="L13" s="14">
        <f>IF(LEN(M13)=0,"",MATCH($M13,INDEX(params!$B$3:$I$125,MATCH($B13,params!$A$3:$A$125,0),),0)-1)</f>
        <v>0</v>
      </c>
      <c r="M13" s="14" t="s">
        <v>33</v>
      </c>
      <c r="N13" s="14">
        <v>0</v>
      </c>
      <c r="O13" s="14">
        <v>0</v>
      </c>
      <c r="P13" s="14">
        <v>0</v>
      </c>
      <c r="Q13" s="14">
        <v>3</v>
      </c>
      <c r="R13" s="14"/>
      <c r="S13" s="27"/>
    </row>
    <row r="14" spans="1:19" x14ac:dyDescent="0.2">
      <c r="A14" s="21"/>
      <c r="B14" s="14" t="s">
        <v>35</v>
      </c>
      <c r="C14" s="25"/>
      <c r="D14" s="14" t="s">
        <v>36</v>
      </c>
      <c r="E14" s="14"/>
      <c r="F14" s="14"/>
      <c r="G14" s="14"/>
      <c r="H14" s="14"/>
      <c r="I14" s="14"/>
      <c r="J14" s="14"/>
      <c r="K14" s="14"/>
      <c r="L14" s="14">
        <f>IF(LEN(M14)=0,"",MATCH($M14,INDEX(params!$B$3:$I$125,MATCH($B14,params!$A$3:$A$125,0),),0)-1)</f>
        <v>0</v>
      </c>
      <c r="M14" s="14" t="s">
        <v>35</v>
      </c>
      <c r="N14" s="14">
        <v>0</v>
      </c>
      <c r="O14" s="14">
        <v>0</v>
      </c>
      <c r="P14" s="14">
        <v>0</v>
      </c>
      <c r="Q14" s="14">
        <v>3</v>
      </c>
      <c r="R14" s="14"/>
      <c r="S14" s="27"/>
    </row>
    <row r="15" spans="1:19" x14ac:dyDescent="0.2">
      <c r="A15" s="21"/>
      <c r="B15" s="14" t="s">
        <v>37</v>
      </c>
      <c r="C15" s="25"/>
      <c r="D15" s="14" t="s">
        <v>38</v>
      </c>
      <c r="E15" s="14"/>
      <c r="F15" s="14"/>
      <c r="G15" s="14"/>
      <c r="H15" s="14"/>
      <c r="I15" s="14"/>
      <c r="J15" s="14"/>
      <c r="K15" s="14"/>
      <c r="L15" s="14">
        <f>IF(LEN(M15)=0,"",MATCH($M15,INDEX(params!$B$3:$I$125,MATCH($B15,params!$A$3:$A$125,0),),0)-1)</f>
        <v>0</v>
      </c>
      <c r="M15" s="14" t="s">
        <v>37</v>
      </c>
      <c r="N15" s="14">
        <v>0</v>
      </c>
      <c r="O15" s="14">
        <v>0</v>
      </c>
      <c r="P15" s="14">
        <v>0</v>
      </c>
      <c r="Q15" s="14">
        <v>3</v>
      </c>
      <c r="R15" s="14"/>
      <c r="S15" s="27"/>
    </row>
    <row r="16" spans="1:19" x14ac:dyDescent="0.2">
      <c r="A16" s="22"/>
      <c r="B16" s="14" t="s">
        <v>39</v>
      </c>
      <c r="C16" s="29"/>
      <c r="D16" s="14" t="s">
        <v>40</v>
      </c>
      <c r="E16" s="14"/>
      <c r="F16" s="14"/>
      <c r="G16" s="14"/>
      <c r="H16" s="14"/>
      <c r="I16" s="14"/>
      <c r="J16" s="14"/>
      <c r="K16" s="14"/>
      <c r="L16" s="14">
        <f>IF(LEN(M16)=0,"",MATCH($M16,INDEX(params!$B$3:$I$125,MATCH($B16,params!$A$3:$A$125,0),),0)-1)</f>
        <v>4</v>
      </c>
      <c r="M16" s="14" t="s">
        <v>244</v>
      </c>
      <c r="N16" s="14">
        <v>0</v>
      </c>
      <c r="O16" s="14">
        <v>0</v>
      </c>
      <c r="P16" s="14">
        <v>0</v>
      </c>
      <c r="Q16" s="14">
        <v>3</v>
      </c>
      <c r="R16" s="14"/>
      <c r="S16" s="27"/>
    </row>
    <row r="17" spans="1:19" customFormat="1" x14ac:dyDescent="0.2">
      <c r="A17" s="23" t="s">
        <v>62</v>
      </c>
      <c r="B17" s="10" t="s">
        <v>774</v>
      </c>
      <c r="C17" s="24" t="s">
        <v>703</v>
      </c>
      <c r="D17" s="10" t="s">
        <v>775</v>
      </c>
      <c r="E17" s="35"/>
      <c r="F17" s="35"/>
      <c r="G17" s="35"/>
      <c r="H17" s="35"/>
      <c r="I17" s="35"/>
      <c r="J17" s="35"/>
      <c r="K17" s="35"/>
      <c r="L17" s="36"/>
      <c r="M17" s="9"/>
      <c r="N17" s="9"/>
      <c r="O17" s="9"/>
      <c r="P17" s="9"/>
      <c r="Q17" s="9">
        <v>1</v>
      </c>
      <c r="R17" s="9"/>
      <c r="S17" s="27"/>
    </row>
    <row r="18" spans="1:19" x14ac:dyDescent="0.2">
      <c r="A18" s="21"/>
      <c r="B18" s="14" t="s">
        <v>63</v>
      </c>
      <c r="C18" s="25"/>
      <c r="D18" s="14" t="s">
        <v>20</v>
      </c>
      <c r="E18" s="14"/>
      <c r="F18" s="14"/>
      <c r="G18" s="14"/>
      <c r="H18" s="14"/>
      <c r="I18" s="14"/>
      <c r="J18" s="14"/>
      <c r="K18" s="14"/>
      <c r="L18" s="14">
        <f>IF(LEN(M18)=0,"",MATCH($M18,INDEX(params!$B$3:$I$125,MATCH($B18,params!$A$3:$A$125,0),),0)-1)</f>
        <v>0</v>
      </c>
      <c r="M18" s="14" t="s">
        <v>63</v>
      </c>
      <c r="N18" s="14">
        <v>1</v>
      </c>
      <c r="O18" s="14">
        <v>0</v>
      </c>
      <c r="P18" s="14">
        <v>0</v>
      </c>
      <c r="Q18" s="14">
        <v>3</v>
      </c>
      <c r="R18" s="14"/>
      <c r="S18" s="27"/>
    </row>
    <row r="19" spans="1:19" x14ac:dyDescent="0.2">
      <c r="A19" s="21"/>
      <c r="B19" s="14" t="s">
        <v>64</v>
      </c>
      <c r="C19" s="21"/>
      <c r="D19" s="14" t="s">
        <v>22</v>
      </c>
      <c r="E19" s="14"/>
      <c r="F19" s="14"/>
      <c r="G19" s="14"/>
      <c r="H19" s="14"/>
      <c r="I19" s="14"/>
      <c r="J19" s="14"/>
      <c r="K19" s="14"/>
      <c r="L19" s="14">
        <f>IF(LEN(M19)=0,"",MATCH($M19,INDEX(params!$B$3:$I$125,MATCH($B19,params!$A$3:$A$125,0),),0)-1)</f>
        <v>0</v>
      </c>
      <c r="M19" s="14" t="s">
        <v>64</v>
      </c>
      <c r="N19" s="14">
        <v>1</v>
      </c>
      <c r="O19" s="14">
        <v>0</v>
      </c>
      <c r="P19" s="14">
        <v>0</v>
      </c>
      <c r="Q19" s="14">
        <v>3</v>
      </c>
      <c r="R19" s="14"/>
      <c r="S19" s="27"/>
    </row>
    <row r="20" spans="1:19" x14ac:dyDescent="0.2">
      <c r="A20" s="21"/>
      <c r="B20" s="14" t="s">
        <v>65</v>
      </c>
      <c r="C20" s="21"/>
      <c r="D20" s="14" t="s">
        <v>24</v>
      </c>
      <c r="E20" s="14"/>
      <c r="F20" s="14"/>
      <c r="G20" s="14"/>
      <c r="H20" s="14"/>
      <c r="I20" s="14"/>
      <c r="J20" s="14"/>
      <c r="K20" s="14"/>
      <c r="L20" s="14">
        <f>IF(LEN(M20)=0,"",MATCH($M20,INDEX(params!$B$3:$I$125,MATCH($B20,params!$A$3:$A$125,0),),0)-1)</f>
        <v>1</v>
      </c>
      <c r="M20" s="14" t="s">
        <v>321</v>
      </c>
      <c r="N20" s="14">
        <v>1</v>
      </c>
      <c r="O20" s="14">
        <v>0</v>
      </c>
      <c r="P20" s="14">
        <v>0</v>
      </c>
      <c r="Q20" s="14">
        <v>3</v>
      </c>
      <c r="R20" s="14"/>
      <c r="S20" s="27"/>
    </row>
    <row r="21" spans="1:19" x14ac:dyDescent="0.2">
      <c r="A21" s="21"/>
      <c r="B21" s="14" t="s">
        <v>66</v>
      </c>
      <c r="C21" s="21"/>
      <c r="D21" s="14" t="s">
        <v>26</v>
      </c>
      <c r="E21" s="14"/>
      <c r="F21" s="14"/>
      <c r="G21" s="14"/>
      <c r="H21" s="14"/>
      <c r="I21" s="14"/>
      <c r="J21" s="14"/>
      <c r="K21" s="14"/>
      <c r="L21" s="14">
        <f>IF(LEN(M21)=0,"",MATCH($M21,INDEX(params!$B$3:$I$125,MATCH($B21,params!$A$3:$A$125,0),),0)-1)</f>
        <v>1</v>
      </c>
      <c r="M21" s="14" t="s">
        <v>327</v>
      </c>
      <c r="N21" s="14">
        <v>1</v>
      </c>
      <c r="O21" s="14">
        <v>0</v>
      </c>
      <c r="P21" s="14">
        <v>0</v>
      </c>
      <c r="Q21" s="14">
        <v>3</v>
      </c>
      <c r="R21" s="14"/>
      <c r="S21" s="27"/>
    </row>
    <row r="22" spans="1:19" x14ac:dyDescent="0.2">
      <c r="A22" s="21"/>
      <c r="B22" s="14" t="s">
        <v>67</v>
      </c>
      <c r="C22" s="21"/>
      <c r="D22" s="14" t="s">
        <v>28</v>
      </c>
      <c r="E22" s="14"/>
      <c r="F22" s="14"/>
      <c r="G22" s="14"/>
      <c r="H22" s="14"/>
      <c r="I22" s="14"/>
      <c r="J22" s="14"/>
      <c r="K22" s="37"/>
      <c r="L22" s="14">
        <f>IF(LEN(M22)=0,"",MATCH($M22,INDEX(params!$B$3:$I$125,MATCH($B22,params!$A$3:$A$125,0),),0)-1)</f>
        <v>0</v>
      </c>
      <c r="M22" s="14" t="s">
        <v>67</v>
      </c>
      <c r="N22" s="14">
        <v>1</v>
      </c>
      <c r="O22" s="14">
        <v>0</v>
      </c>
      <c r="P22" s="14">
        <v>0</v>
      </c>
      <c r="Q22" s="14">
        <v>3</v>
      </c>
      <c r="R22" s="14"/>
      <c r="S22" s="27"/>
    </row>
    <row r="23" spans="1:19" x14ac:dyDescent="0.2">
      <c r="A23" s="21"/>
      <c r="B23" s="14" t="s">
        <v>68</v>
      </c>
      <c r="C23" s="21"/>
      <c r="D23" s="14" t="s">
        <v>30</v>
      </c>
      <c r="E23" s="14"/>
      <c r="F23" s="14"/>
      <c r="G23" s="14"/>
      <c r="H23" s="14"/>
      <c r="I23" s="14"/>
      <c r="J23" s="14"/>
      <c r="K23" s="14"/>
      <c r="L23" s="14">
        <f>IF(LEN(M23)=0,"",MATCH($M23,INDEX(params!$B$3:$I$125,MATCH($B23,params!$A$3:$A$125,0),),0)-1)</f>
        <v>0</v>
      </c>
      <c r="M23" s="14" t="s">
        <v>68</v>
      </c>
      <c r="N23" s="14">
        <v>1</v>
      </c>
      <c r="O23" s="14">
        <v>0</v>
      </c>
      <c r="P23" s="14">
        <v>0</v>
      </c>
      <c r="Q23" s="14">
        <v>3</v>
      </c>
      <c r="R23" s="14"/>
      <c r="S23" s="27"/>
    </row>
    <row r="24" spans="1:19" x14ac:dyDescent="0.2">
      <c r="A24" s="21"/>
      <c r="B24" s="14" t="s">
        <v>69</v>
      </c>
      <c r="C24" s="21"/>
      <c r="D24" s="14" t="s">
        <v>32</v>
      </c>
      <c r="E24" s="14"/>
      <c r="F24" s="14"/>
      <c r="G24" s="14"/>
      <c r="H24" s="14"/>
      <c r="I24" s="14"/>
      <c r="J24" s="14"/>
      <c r="K24" s="14"/>
      <c r="L24" s="14">
        <f>IF(LEN(M24)=0,"",MATCH($M24,INDEX(params!$B$3:$I$125,MATCH($B24,params!$A$3:$A$125,0),),0)-1)</f>
        <v>0</v>
      </c>
      <c r="M24" s="14" t="s">
        <v>69</v>
      </c>
      <c r="N24" s="14">
        <v>1</v>
      </c>
      <c r="O24" s="14">
        <v>0</v>
      </c>
      <c r="P24" s="14">
        <v>0</v>
      </c>
      <c r="Q24" s="14">
        <v>3</v>
      </c>
      <c r="R24" s="14"/>
      <c r="S24" s="27"/>
    </row>
    <row r="25" spans="1:19" x14ac:dyDescent="0.2">
      <c r="A25" s="21"/>
      <c r="B25" s="14" t="s">
        <v>70</v>
      </c>
      <c r="C25" s="21"/>
      <c r="D25" s="14" t="s">
        <v>34</v>
      </c>
      <c r="E25" s="14"/>
      <c r="F25" s="14"/>
      <c r="G25" s="14"/>
      <c r="H25" s="14"/>
      <c r="I25" s="14"/>
      <c r="J25" s="14"/>
      <c r="K25" s="14"/>
      <c r="L25" s="14">
        <f>IF(LEN(M25)=0,"",MATCH($M25,INDEX(params!$B$3:$I$125,MATCH($B25,params!$A$3:$A$125,0),),0)-1)</f>
        <v>0</v>
      </c>
      <c r="M25" s="14" t="s">
        <v>70</v>
      </c>
      <c r="N25" s="14">
        <v>1</v>
      </c>
      <c r="O25" s="14">
        <v>0</v>
      </c>
      <c r="P25" s="14">
        <v>0</v>
      </c>
      <c r="Q25" s="14">
        <v>3</v>
      </c>
      <c r="R25" s="14"/>
    </row>
    <row r="26" spans="1:19" x14ac:dyDescent="0.2">
      <c r="A26" s="21"/>
      <c r="B26" s="14" t="s">
        <v>71</v>
      </c>
      <c r="C26" s="21"/>
      <c r="D26" s="14" t="s">
        <v>36</v>
      </c>
      <c r="E26" s="14"/>
      <c r="F26" s="14"/>
      <c r="G26" s="14"/>
      <c r="H26" s="14"/>
      <c r="I26" s="14"/>
      <c r="J26" s="14"/>
      <c r="K26" s="14"/>
      <c r="L26" s="14">
        <f>IF(LEN(M26)=0,"",MATCH($M26,INDEX(params!$B$3:$I$125,MATCH($B26,params!$A$3:$A$125,0),),0)-1)</f>
        <v>6</v>
      </c>
      <c r="M26" s="14" t="s">
        <v>362</v>
      </c>
      <c r="N26" s="14">
        <v>1</v>
      </c>
      <c r="O26" s="14">
        <v>0</v>
      </c>
      <c r="P26" s="14">
        <v>0</v>
      </c>
      <c r="Q26" s="14">
        <v>3</v>
      </c>
      <c r="R26" s="15" t="s">
        <v>765</v>
      </c>
    </row>
    <row r="27" spans="1:19" x14ac:dyDescent="0.2">
      <c r="A27" s="21"/>
      <c r="B27" s="14" t="s">
        <v>72</v>
      </c>
      <c r="C27" s="21"/>
      <c r="D27" s="14" t="s">
        <v>38</v>
      </c>
      <c r="E27" s="14"/>
      <c r="F27" s="14"/>
      <c r="G27" s="14"/>
      <c r="H27" s="14"/>
      <c r="I27" s="14"/>
      <c r="J27" s="14"/>
      <c r="K27" s="14"/>
      <c r="L27" s="14">
        <f>IF(LEN(M27)=0,"",MATCH($M27,INDEX(params!$B$3:$I$125,MATCH($B27,params!$A$3:$A$125,0),),0)-1)</f>
        <v>6</v>
      </c>
      <c r="M27" s="14" t="s">
        <v>369</v>
      </c>
      <c r="N27" s="14">
        <v>1</v>
      </c>
      <c r="O27" s="14">
        <v>0</v>
      </c>
      <c r="P27" s="14">
        <v>1</v>
      </c>
      <c r="Q27" s="14">
        <v>3</v>
      </c>
      <c r="R27" s="15" t="s">
        <v>766</v>
      </c>
    </row>
    <row r="28" spans="1:19" x14ac:dyDescent="0.2">
      <c r="A28" s="21"/>
      <c r="B28" s="14" t="s">
        <v>73</v>
      </c>
      <c r="C28" s="21"/>
      <c r="D28" s="14" t="s">
        <v>40</v>
      </c>
      <c r="E28" s="14"/>
      <c r="F28" s="14"/>
      <c r="G28" s="14"/>
      <c r="H28" s="14"/>
      <c r="I28" s="14"/>
      <c r="J28" s="14"/>
      <c r="K28" s="14"/>
      <c r="L28" s="14">
        <f>IF(LEN(M28)=0,"",MATCH($M28,INDEX(params!$B$3:$I$125,MATCH($B28,params!$A$3:$A$125,0),),0)-1)</f>
        <v>1</v>
      </c>
      <c r="M28" s="14" t="s">
        <v>372</v>
      </c>
      <c r="N28" s="14">
        <v>1</v>
      </c>
      <c r="O28" s="14">
        <v>0</v>
      </c>
      <c r="P28" s="14">
        <v>0</v>
      </c>
      <c r="Q28" s="14">
        <v>3</v>
      </c>
      <c r="R28" s="14"/>
    </row>
    <row r="29" spans="1:19" x14ac:dyDescent="0.2">
      <c r="A29" s="22"/>
      <c r="B29" s="14" t="s">
        <v>74</v>
      </c>
      <c r="C29" s="22"/>
      <c r="D29" s="14" t="s">
        <v>57</v>
      </c>
      <c r="E29" s="14"/>
      <c r="F29" s="14"/>
      <c r="G29" s="14"/>
      <c r="H29" s="14"/>
      <c r="I29" s="14"/>
      <c r="J29" s="14"/>
      <c r="K29" s="14"/>
      <c r="L29" s="14">
        <f>IF(LEN(M29)=0,"",MATCH($M29,INDEX(params!$B$3:$I$125,MATCH($B29,params!$A$3:$A$125,0),),0)-1)</f>
        <v>1</v>
      </c>
      <c r="M29" s="14" t="s">
        <v>379</v>
      </c>
      <c r="N29" s="14">
        <v>1</v>
      </c>
      <c r="O29" s="14">
        <v>0</v>
      </c>
      <c r="P29" s="14">
        <v>0</v>
      </c>
      <c r="Q29" s="14">
        <v>3</v>
      </c>
      <c r="R29" s="14"/>
    </row>
    <row r="30" spans="1:19" customFormat="1" x14ac:dyDescent="0.2">
      <c r="A30" s="23" t="s">
        <v>80</v>
      </c>
      <c r="B30" s="10" t="s">
        <v>774</v>
      </c>
      <c r="C30" s="24" t="s">
        <v>707</v>
      </c>
      <c r="D30" s="10" t="s">
        <v>775</v>
      </c>
      <c r="E30" s="35"/>
      <c r="F30" s="35"/>
      <c r="G30" s="35"/>
      <c r="H30" s="35"/>
      <c r="I30" s="35"/>
      <c r="J30" s="35"/>
      <c r="K30" s="35"/>
      <c r="L30" s="36"/>
      <c r="M30" s="9"/>
      <c r="N30" s="9"/>
      <c r="O30" s="9"/>
      <c r="P30" s="9"/>
      <c r="Q30" s="9">
        <v>1</v>
      </c>
      <c r="R30" s="9"/>
      <c r="S30" s="13"/>
    </row>
    <row r="31" spans="1:19" x14ac:dyDescent="0.2">
      <c r="A31" s="21"/>
      <c r="B31" s="14" t="s">
        <v>81</v>
      </c>
      <c r="C31" s="25"/>
      <c r="D31" s="14" t="s">
        <v>20</v>
      </c>
      <c r="E31" s="14"/>
      <c r="F31" s="14"/>
      <c r="G31" s="14"/>
      <c r="H31" s="14"/>
      <c r="I31" s="14"/>
      <c r="J31" s="14"/>
      <c r="K31" s="14"/>
      <c r="L31" s="14">
        <f>IF(LEN(M31)=0,"",MATCH($M31,INDEX(params!$B$3:$I$125,MATCH($B31,params!$A$3:$A$125,0),),0)-1)</f>
        <v>6</v>
      </c>
      <c r="M31" s="14" t="s">
        <v>409</v>
      </c>
      <c r="N31" s="14">
        <v>1</v>
      </c>
      <c r="O31" s="14">
        <v>0</v>
      </c>
      <c r="P31" s="14">
        <v>0</v>
      </c>
      <c r="Q31" s="14">
        <v>3</v>
      </c>
      <c r="R31" s="15" t="s">
        <v>710</v>
      </c>
    </row>
    <row r="32" spans="1:19" x14ac:dyDescent="0.2">
      <c r="A32" s="21"/>
      <c r="B32" s="14" t="s">
        <v>82</v>
      </c>
      <c r="C32" s="21"/>
      <c r="D32" s="14" t="s">
        <v>22</v>
      </c>
      <c r="E32" s="14"/>
      <c r="F32" s="14"/>
      <c r="G32" s="14"/>
      <c r="H32" s="14"/>
      <c r="I32" s="14"/>
      <c r="J32" s="14"/>
      <c r="K32" s="14"/>
      <c r="L32" s="14">
        <f>IF(LEN(M32)=0,"",MATCH($M32,INDEX(params!$B$3:$I$125,MATCH($B32,params!$A$3:$A$125,0),),0)-1)</f>
        <v>6</v>
      </c>
      <c r="M32" s="14" t="s">
        <v>416</v>
      </c>
      <c r="N32" s="14">
        <v>1</v>
      </c>
      <c r="O32" s="14">
        <v>0</v>
      </c>
      <c r="P32" s="14">
        <v>0</v>
      </c>
      <c r="Q32" s="14">
        <v>3</v>
      </c>
      <c r="R32" s="15"/>
    </row>
    <row r="33" spans="1:18" x14ac:dyDescent="0.2">
      <c r="A33" s="21"/>
      <c r="B33" s="14" t="s">
        <v>83</v>
      </c>
      <c r="C33" s="21"/>
      <c r="D33" s="14" t="s">
        <v>24</v>
      </c>
      <c r="E33" s="14"/>
      <c r="F33" s="14"/>
      <c r="G33" s="14"/>
      <c r="H33" s="14"/>
      <c r="I33" s="14"/>
      <c r="J33" s="14"/>
      <c r="K33" s="14"/>
      <c r="L33" s="14">
        <f>IF(LEN(M33)=0,"",MATCH($M33,INDEX(params!$B$3:$I$125,MATCH($B33,params!$A$3:$A$125,0),),0)-1)</f>
        <v>2</v>
      </c>
      <c r="M33" s="14" t="s">
        <v>419</v>
      </c>
      <c r="N33" s="14">
        <v>1</v>
      </c>
      <c r="O33" s="14">
        <v>0</v>
      </c>
      <c r="P33" s="14">
        <v>1</v>
      </c>
      <c r="Q33" s="14">
        <v>3</v>
      </c>
      <c r="R33" s="14"/>
    </row>
    <row r="34" spans="1:18" x14ac:dyDescent="0.2">
      <c r="A34" s="21"/>
      <c r="B34" s="14" t="s">
        <v>84</v>
      </c>
      <c r="C34" s="21"/>
      <c r="D34" s="14" t="s">
        <v>26</v>
      </c>
      <c r="E34" s="14"/>
      <c r="F34" s="14"/>
      <c r="G34" s="14"/>
      <c r="H34" s="14"/>
      <c r="I34" s="14"/>
      <c r="J34" s="14"/>
      <c r="K34" s="14"/>
      <c r="L34" s="14">
        <f>IF(LEN(M34)=0,"",MATCH($M34,INDEX(params!$B$3:$I$125,MATCH($B34,params!$A$3:$A$125,0),),0)-1)</f>
        <v>6</v>
      </c>
      <c r="M34" s="14" t="s">
        <v>428</v>
      </c>
      <c r="N34" s="14">
        <v>1</v>
      </c>
      <c r="O34" s="14">
        <v>0</v>
      </c>
      <c r="P34" s="14">
        <v>0</v>
      </c>
      <c r="Q34" s="14">
        <v>3</v>
      </c>
      <c r="R34" s="15" t="s">
        <v>711</v>
      </c>
    </row>
    <row r="35" spans="1:18" x14ac:dyDescent="0.2">
      <c r="A35" s="21"/>
      <c r="B35" s="14" t="s">
        <v>85</v>
      </c>
      <c r="C35" s="21"/>
      <c r="D35" s="14" t="s">
        <v>28</v>
      </c>
      <c r="E35" s="14"/>
      <c r="F35" s="14"/>
      <c r="G35" s="14"/>
      <c r="H35" s="14"/>
      <c r="I35" s="14"/>
      <c r="J35" s="14"/>
      <c r="K35" s="14"/>
      <c r="L35" s="14">
        <f>IF(LEN(M35)=0,"",MATCH($M35,INDEX(params!$B$3:$I$125,MATCH($B35,params!$A$3:$A$125,0),),0)-1)</f>
        <v>0</v>
      </c>
      <c r="M35" s="14" t="s">
        <v>85</v>
      </c>
      <c r="N35" s="14">
        <v>0</v>
      </c>
      <c r="O35" s="14">
        <v>0</v>
      </c>
      <c r="P35" s="14">
        <v>0</v>
      </c>
      <c r="Q35" s="14">
        <v>3</v>
      </c>
      <c r="R35" s="14"/>
    </row>
    <row r="36" spans="1:18" x14ac:dyDescent="0.2">
      <c r="A36" s="21"/>
      <c r="B36" s="14" t="s">
        <v>86</v>
      </c>
      <c r="C36" s="21"/>
      <c r="D36" s="14" t="s">
        <v>30</v>
      </c>
      <c r="E36" s="14"/>
      <c r="F36" s="14"/>
      <c r="G36" s="14"/>
      <c r="H36" s="14"/>
      <c r="I36" s="14"/>
      <c r="J36" s="14"/>
      <c r="K36" s="14"/>
      <c r="L36" s="14">
        <f>IF(LEN(M36)=0,"",MATCH($M36,INDEX(params!$B$3:$I$125,MATCH($B36,params!$A$3:$A$125,0),),0)-1)</f>
        <v>0</v>
      </c>
      <c r="M36" s="14" t="s">
        <v>86</v>
      </c>
      <c r="N36" s="14">
        <v>0</v>
      </c>
      <c r="O36" s="14">
        <v>0</v>
      </c>
      <c r="P36" s="14">
        <v>0</v>
      </c>
      <c r="Q36" s="14">
        <v>3</v>
      </c>
      <c r="R36" s="14"/>
    </row>
    <row r="37" spans="1:18" x14ac:dyDescent="0.2">
      <c r="A37" s="21"/>
      <c r="B37" s="14" t="s">
        <v>87</v>
      </c>
      <c r="C37" s="21"/>
      <c r="D37" s="14" t="s">
        <v>32</v>
      </c>
      <c r="E37" s="14"/>
      <c r="F37" s="14"/>
      <c r="G37" s="14"/>
      <c r="H37" s="14"/>
      <c r="I37" s="14"/>
      <c r="J37" s="14"/>
      <c r="K37" s="14"/>
      <c r="L37" s="14">
        <f>IF(LEN(M37)=0,"",MATCH($M37,INDEX(params!$B$3:$I$125,MATCH($B37,params!$A$3:$A$125,0),),0)-1)</f>
        <v>0</v>
      </c>
      <c r="M37" s="14" t="s">
        <v>87</v>
      </c>
      <c r="N37" s="14">
        <v>0</v>
      </c>
      <c r="O37" s="14">
        <v>0</v>
      </c>
      <c r="P37" s="14">
        <v>0</v>
      </c>
      <c r="Q37" s="14">
        <v>3</v>
      </c>
      <c r="R37" s="14"/>
    </row>
    <row r="38" spans="1:18" x14ac:dyDescent="0.2">
      <c r="A38" s="21"/>
      <c r="B38" s="14" t="s">
        <v>88</v>
      </c>
      <c r="C38" s="21"/>
      <c r="D38" s="14" t="s">
        <v>34</v>
      </c>
      <c r="E38" s="14"/>
      <c r="F38" s="14"/>
      <c r="G38" s="14"/>
      <c r="H38" s="14"/>
      <c r="I38" s="14"/>
      <c r="J38" s="14"/>
      <c r="K38" s="14"/>
      <c r="L38" s="14">
        <f>IF(LEN(M38)=0,"",MATCH($M38,INDEX(params!$B$3:$I$125,MATCH($B38,params!$A$3:$A$125,0),),0)-1)</f>
        <v>6</v>
      </c>
      <c r="M38" s="14" t="s">
        <v>453</v>
      </c>
      <c r="N38" s="14">
        <v>0</v>
      </c>
      <c r="O38" s="14">
        <v>0</v>
      </c>
      <c r="P38" s="14">
        <v>0</v>
      </c>
      <c r="Q38" s="14">
        <v>3</v>
      </c>
      <c r="R38" s="14"/>
    </row>
    <row r="39" spans="1:18" x14ac:dyDescent="0.2">
      <c r="A39" s="21"/>
      <c r="B39" s="14" t="s">
        <v>89</v>
      </c>
      <c r="C39" s="21"/>
      <c r="D39" s="14" t="s">
        <v>36</v>
      </c>
      <c r="E39" s="14"/>
      <c r="F39" s="14"/>
      <c r="G39" s="14"/>
      <c r="H39" s="14"/>
      <c r="I39" s="14"/>
      <c r="J39" s="14"/>
      <c r="K39" s="14"/>
      <c r="L39" s="14">
        <f>IF(LEN(M39)=0,"",MATCH($M39,INDEX(params!$B$3:$I$125,MATCH($B39,params!$A$3:$A$125,0),),0)-1)</f>
        <v>0</v>
      </c>
      <c r="M39" s="14" t="s">
        <v>89</v>
      </c>
      <c r="N39" s="14">
        <v>1</v>
      </c>
      <c r="O39" s="14">
        <v>0</v>
      </c>
      <c r="P39" s="14">
        <v>0</v>
      </c>
      <c r="Q39" s="14">
        <v>3</v>
      </c>
      <c r="R39" s="14"/>
    </row>
    <row r="40" spans="1:18" x14ac:dyDescent="0.2">
      <c r="A40" s="21"/>
      <c r="B40" s="14" t="s">
        <v>90</v>
      </c>
      <c r="C40" s="21"/>
      <c r="D40" s="14" t="s">
        <v>38</v>
      </c>
      <c r="E40" s="14"/>
      <c r="F40" s="14"/>
      <c r="G40" s="14"/>
      <c r="H40" s="14"/>
      <c r="I40" s="14"/>
      <c r="J40" s="14"/>
      <c r="K40" s="14"/>
      <c r="L40" s="14">
        <f>IF(LEN(M40)=0,"",MATCH($M40,INDEX(params!$B$3:$I$125,MATCH($B40,params!$A$3:$A$125,0),),0)-1)</f>
        <v>0</v>
      </c>
      <c r="M40" s="14" t="s">
        <v>90</v>
      </c>
      <c r="N40" s="14">
        <v>0</v>
      </c>
      <c r="O40" s="14">
        <v>0</v>
      </c>
      <c r="P40" s="14">
        <v>0</v>
      </c>
      <c r="Q40" s="14">
        <v>3</v>
      </c>
      <c r="R40" s="14"/>
    </row>
    <row r="41" spans="1:18" x14ac:dyDescent="0.2">
      <c r="A41" s="21"/>
      <c r="B41" s="14" t="s">
        <v>91</v>
      </c>
      <c r="C41" s="21"/>
      <c r="D41" s="14" t="s">
        <v>40</v>
      </c>
      <c r="E41" s="14"/>
      <c r="F41" s="14"/>
      <c r="G41" s="14"/>
      <c r="H41" s="14"/>
      <c r="I41" s="14"/>
      <c r="J41" s="14"/>
      <c r="K41" s="14"/>
      <c r="L41" s="14">
        <f>IF(LEN(M41)=0,"",MATCH($M41,INDEX(params!$B$3:$I$125,MATCH($B41,params!$A$3:$A$125,0),),0)-1)</f>
        <v>0</v>
      </c>
      <c r="M41" s="14" t="s">
        <v>91</v>
      </c>
      <c r="N41" s="14">
        <v>0</v>
      </c>
      <c r="O41" s="14">
        <v>0</v>
      </c>
      <c r="P41" s="14">
        <v>0</v>
      </c>
      <c r="Q41" s="14">
        <v>5</v>
      </c>
      <c r="R41" s="14"/>
    </row>
    <row r="42" spans="1:18" x14ac:dyDescent="0.2">
      <c r="A42" s="21"/>
      <c r="B42" s="14" t="s">
        <v>92</v>
      </c>
      <c r="C42" s="21"/>
      <c r="D42" s="14" t="s">
        <v>57</v>
      </c>
      <c r="E42" s="14"/>
      <c r="F42" s="14"/>
      <c r="G42" s="14"/>
      <c r="H42" s="14"/>
      <c r="I42" s="14"/>
      <c r="J42" s="14"/>
      <c r="K42" s="14"/>
      <c r="L42" s="14">
        <f>IF(LEN(M42)=0,"",MATCH($M42,INDEX(params!$B$3:$I$125,MATCH($B42,params!$A$3:$A$125,0),),0)-1)</f>
        <v>0</v>
      </c>
      <c r="M42" s="14" t="s">
        <v>92</v>
      </c>
      <c r="N42" s="14">
        <v>0</v>
      </c>
      <c r="O42" s="14">
        <v>0</v>
      </c>
      <c r="P42" s="14">
        <v>0</v>
      </c>
      <c r="Q42" s="14">
        <v>5</v>
      </c>
      <c r="R42" s="14"/>
    </row>
    <row r="43" spans="1:18" x14ac:dyDescent="0.2">
      <c r="A43" s="21"/>
      <c r="B43" s="14" t="s">
        <v>93</v>
      </c>
      <c r="C43" s="21"/>
      <c r="D43" s="14" t="s">
        <v>59</v>
      </c>
      <c r="E43" s="14"/>
      <c r="F43" s="14"/>
      <c r="G43" s="14"/>
      <c r="H43" s="14"/>
      <c r="I43" s="14"/>
      <c r="J43" s="14"/>
      <c r="K43" s="14"/>
      <c r="L43" s="14">
        <f>IF(LEN(M43)=0,"",MATCH($M43,INDEX(params!$B$3:$I$125,MATCH($B43,params!$A$3:$A$125,0),),0)-1)</f>
        <v>0</v>
      </c>
      <c r="M43" s="14" t="s">
        <v>93</v>
      </c>
      <c r="N43" s="14">
        <v>0</v>
      </c>
      <c r="O43" s="14">
        <v>0</v>
      </c>
      <c r="P43" s="14">
        <v>0</v>
      </c>
      <c r="Q43" s="14">
        <v>3</v>
      </c>
      <c r="R43" s="14"/>
    </row>
    <row r="44" spans="1:18" x14ac:dyDescent="0.2">
      <c r="A44" s="21"/>
      <c r="B44" s="14" t="s">
        <v>94</v>
      </c>
      <c r="C44" s="21"/>
      <c r="D44" s="14" t="s">
        <v>61</v>
      </c>
      <c r="E44" s="14"/>
      <c r="F44" s="14"/>
      <c r="G44" s="14"/>
      <c r="H44" s="14"/>
      <c r="I44" s="14"/>
      <c r="J44" s="14"/>
      <c r="K44" s="14"/>
      <c r="L44" s="14">
        <f>IF(LEN(M44)=0,"",MATCH($M44,INDEX(params!$B$3:$I$125,MATCH($B44,params!$A$3:$A$125,0),),0)-1)</f>
        <v>0</v>
      </c>
      <c r="M44" s="14" t="s">
        <v>94</v>
      </c>
      <c r="N44" s="14">
        <v>0</v>
      </c>
      <c r="O44" s="14">
        <v>0</v>
      </c>
      <c r="P44" s="14">
        <v>0</v>
      </c>
      <c r="Q44" s="14">
        <v>5</v>
      </c>
      <c r="R44" s="14"/>
    </row>
    <row r="45" spans="1:18" x14ac:dyDescent="0.2">
      <c r="A45" s="21"/>
      <c r="B45" s="14" t="s">
        <v>95</v>
      </c>
      <c r="C45" s="21"/>
      <c r="D45" s="14" t="s">
        <v>96</v>
      </c>
      <c r="E45" s="14"/>
      <c r="F45" s="14"/>
      <c r="G45" s="14"/>
      <c r="H45" s="14"/>
      <c r="I45" s="14"/>
      <c r="J45" s="14"/>
      <c r="K45" s="14"/>
      <c r="L45" s="14">
        <f>IF(LEN(M45)=0,"",MATCH($M45,INDEX(params!$B$3:$I$125,MATCH($B45,params!$A$3:$A$125,0),),0)-1)</f>
        <v>0</v>
      </c>
      <c r="M45" s="14" t="s">
        <v>95</v>
      </c>
      <c r="N45" s="14">
        <v>0</v>
      </c>
      <c r="O45" s="14">
        <v>0</v>
      </c>
      <c r="P45" s="14">
        <v>0</v>
      </c>
      <c r="Q45" s="14">
        <v>5</v>
      </c>
      <c r="R45" s="14"/>
    </row>
    <row r="46" spans="1:18" x14ac:dyDescent="0.2">
      <c r="A46" s="21"/>
      <c r="B46" s="14" t="s">
        <v>97</v>
      </c>
      <c r="C46" s="21"/>
      <c r="D46" s="14" t="s">
        <v>98</v>
      </c>
      <c r="E46" s="14"/>
      <c r="F46" s="14"/>
      <c r="G46" s="14"/>
      <c r="H46" s="14"/>
      <c r="I46" s="14"/>
      <c r="J46" s="14"/>
      <c r="K46" s="14"/>
      <c r="L46" s="14">
        <f>IF(LEN(M46)=0,"",MATCH($M46,INDEX(params!$B$3:$I$125,MATCH($B46,params!$A$3:$A$125,0),),0)-1)</f>
        <v>0</v>
      </c>
      <c r="M46" s="14" t="s">
        <v>97</v>
      </c>
      <c r="N46" s="14">
        <v>0</v>
      </c>
      <c r="O46" s="14">
        <v>0</v>
      </c>
      <c r="P46" s="14">
        <v>0</v>
      </c>
      <c r="Q46" s="14">
        <v>5</v>
      </c>
      <c r="R46" s="14"/>
    </row>
    <row r="47" spans="1:18" x14ac:dyDescent="0.2">
      <c r="A47" s="21"/>
      <c r="B47" s="14" t="s">
        <v>99</v>
      </c>
      <c r="C47" s="21"/>
      <c r="D47" s="14" t="s">
        <v>100</v>
      </c>
      <c r="E47" s="14"/>
      <c r="F47" s="14"/>
      <c r="G47" s="14"/>
      <c r="H47" s="14"/>
      <c r="I47" s="14"/>
      <c r="J47" s="14"/>
      <c r="K47" s="14"/>
      <c r="L47" s="14">
        <f>IF(LEN(M47)=0,"",MATCH($M47,INDEX(params!$B$3:$I$125,MATCH($B47,params!$A$3:$A$125,0),),0)-1)</f>
        <v>0</v>
      </c>
      <c r="M47" s="14" t="s">
        <v>99</v>
      </c>
      <c r="N47" s="14">
        <v>0</v>
      </c>
      <c r="O47" s="14">
        <v>0</v>
      </c>
      <c r="P47" s="14">
        <v>0</v>
      </c>
      <c r="Q47" s="14">
        <v>5</v>
      </c>
      <c r="R47" s="14"/>
    </row>
    <row r="48" spans="1:18" x14ac:dyDescent="0.2">
      <c r="A48" s="21"/>
      <c r="B48" s="14" t="s">
        <v>101</v>
      </c>
      <c r="C48" s="21"/>
      <c r="D48" s="14" t="s">
        <v>102</v>
      </c>
      <c r="E48" s="14"/>
      <c r="F48" s="14"/>
      <c r="G48" s="14"/>
      <c r="H48" s="14"/>
      <c r="I48" s="14"/>
      <c r="J48" s="14"/>
      <c r="K48" s="14"/>
      <c r="L48" s="14">
        <f>IF(LEN(M48)=0,"",MATCH($M48,INDEX(params!$B$3:$I$125,MATCH($B48,params!$A$3:$A$125,0),),0)-1)</f>
        <v>0</v>
      </c>
      <c r="M48" s="14" t="s">
        <v>101</v>
      </c>
      <c r="N48" s="14">
        <v>0</v>
      </c>
      <c r="O48" s="14">
        <v>0</v>
      </c>
      <c r="P48" s="14">
        <v>0</v>
      </c>
      <c r="Q48" s="14">
        <v>5</v>
      </c>
      <c r="R48" s="14"/>
    </row>
    <row r="49" spans="1:19" x14ac:dyDescent="0.2">
      <c r="A49" s="21"/>
      <c r="B49" s="14" t="s">
        <v>103</v>
      </c>
      <c r="C49" s="21"/>
      <c r="D49" s="14" t="s">
        <v>104</v>
      </c>
      <c r="E49" s="14"/>
      <c r="F49" s="14"/>
      <c r="G49" s="14"/>
      <c r="H49" s="14"/>
      <c r="I49" s="14"/>
      <c r="J49" s="14"/>
      <c r="K49" s="14"/>
      <c r="L49" s="14">
        <f>IF(LEN(M49)=0,"",MATCH($M49,INDEX(params!$B$3:$I$125,MATCH($B49,params!$A$3:$A$125,0),),0)-1)</f>
        <v>0</v>
      </c>
      <c r="M49" s="14" t="s">
        <v>103</v>
      </c>
      <c r="N49" s="14">
        <v>0</v>
      </c>
      <c r="O49" s="14">
        <v>0</v>
      </c>
      <c r="P49" s="14">
        <v>0</v>
      </c>
      <c r="Q49" s="14">
        <v>5</v>
      </c>
      <c r="R49" s="14"/>
    </row>
    <row r="50" spans="1:19" x14ac:dyDescent="0.2">
      <c r="A50" s="21"/>
      <c r="B50" s="14" t="s">
        <v>105</v>
      </c>
      <c r="C50" s="21"/>
      <c r="D50" s="14" t="s">
        <v>106</v>
      </c>
      <c r="E50" s="14"/>
      <c r="F50" s="14"/>
      <c r="G50" s="14"/>
      <c r="H50" s="14"/>
      <c r="I50" s="14"/>
      <c r="J50" s="14"/>
      <c r="K50" s="14"/>
      <c r="L50" s="14">
        <f>IF(LEN(M50)=0,"",MATCH($M50,INDEX(params!$B$3:$I$125,MATCH($B50,params!$A$3:$A$125,0),),0)-1)</f>
        <v>0</v>
      </c>
      <c r="M50" s="14" t="s">
        <v>105</v>
      </c>
      <c r="N50" s="14">
        <v>0</v>
      </c>
      <c r="O50" s="14">
        <v>0</v>
      </c>
      <c r="P50" s="14">
        <v>0</v>
      </c>
      <c r="Q50" s="14">
        <v>3</v>
      </c>
      <c r="R50" s="14"/>
    </row>
    <row r="51" spans="1:19" x14ac:dyDescent="0.2">
      <c r="A51" s="21"/>
      <c r="B51" s="14" t="s">
        <v>107</v>
      </c>
      <c r="C51" s="21"/>
      <c r="D51" s="14" t="s">
        <v>108</v>
      </c>
      <c r="E51" s="14"/>
      <c r="F51" s="14"/>
      <c r="G51" s="14"/>
      <c r="H51" s="14"/>
      <c r="I51" s="14"/>
      <c r="J51" s="14"/>
      <c r="K51" s="14"/>
      <c r="L51" s="14">
        <f>IF(LEN(M51)=0,"",MATCH($M51,INDEX(params!$B$3:$I$125,MATCH($B51,params!$A$3:$A$125,0),),0)-1)</f>
        <v>0</v>
      </c>
      <c r="M51" s="14" t="s">
        <v>107</v>
      </c>
      <c r="N51" s="14">
        <v>0</v>
      </c>
      <c r="O51" s="14">
        <v>0</v>
      </c>
      <c r="P51" s="14">
        <v>0</v>
      </c>
      <c r="Q51" s="14">
        <v>5</v>
      </c>
      <c r="R51" s="14"/>
    </row>
    <row r="52" spans="1:19" x14ac:dyDescent="0.2">
      <c r="A52" s="22"/>
      <c r="B52" s="14" t="s">
        <v>109</v>
      </c>
      <c r="C52" s="22"/>
      <c r="D52" s="14" t="s">
        <v>110</v>
      </c>
      <c r="E52" s="14"/>
      <c r="F52" s="14"/>
      <c r="G52" s="14"/>
      <c r="H52" s="14"/>
      <c r="I52" s="14"/>
      <c r="J52" s="14"/>
      <c r="K52" s="14"/>
      <c r="L52" s="14">
        <f>IF(LEN(M52)=0,"",MATCH($M52,INDEX(params!$B$3:$I$125,MATCH($B52,params!$A$3:$A$125,0),),0)-1)</f>
        <v>0</v>
      </c>
      <c r="M52" s="14" t="s">
        <v>109</v>
      </c>
      <c r="N52" s="14">
        <v>0</v>
      </c>
      <c r="O52" s="14">
        <v>0</v>
      </c>
      <c r="P52" s="14">
        <v>0</v>
      </c>
      <c r="Q52" s="14">
        <v>5</v>
      </c>
      <c r="R52" s="14"/>
    </row>
    <row r="53" spans="1:19" customFormat="1" x14ac:dyDescent="0.2">
      <c r="A53" s="23" t="s">
        <v>111</v>
      </c>
      <c r="B53" s="10" t="s">
        <v>774</v>
      </c>
      <c r="C53" s="24" t="s">
        <v>708</v>
      </c>
      <c r="D53" s="10" t="s">
        <v>775</v>
      </c>
      <c r="E53" s="35"/>
      <c r="F53" s="35"/>
      <c r="G53" s="35"/>
      <c r="H53" s="35"/>
      <c r="I53" s="35"/>
      <c r="J53" s="35"/>
      <c r="K53" s="35"/>
      <c r="L53" s="36"/>
      <c r="M53" s="9"/>
      <c r="N53" s="9"/>
      <c r="O53" s="9"/>
      <c r="P53" s="9"/>
      <c r="Q53" s="9">
        <v>1</v>
      </c>
      <c r="R53" s="9"/>
      <c r="S53" s="13"/>
    </row>
    <row r="54" spans="1:19" x14ac:dyDescent="0.2">
      <c r="A54" s="21"/>
      <c r="B54" s="14" t="s">
        <v>112</v>
      </c>
      <c r="C54" s="25"/>
      <c r="D54" s="14" t="s">
        <v>20</v>
      </c>
      <c r="E54" s="14"/>
      <c r="F54" s="14"/>
      <c r="G54" s="14"/>
      <c r="H54" s="14"/>
      <c r="I54" s="14"/>
      <c r="J54" s="14"/>
      <c r="K54" s="14"/>
      <c r="L54" s="14">
        <f>IF(LEN(M54)=0,"",MATCH($M54,INDEX(params!$B$3:$I$125,MATCH($B54,params!$A$3:$A$125,0),),0)-1)</f>
        <v>0</v>
      </c>
      <c r="M54" s="14" t="s">
        <v>112</v>
      </c>
      <c r="N54" s="12">
        <v>1</v>
      </c>
      <c r="O54" s="12">
        <v>0</v>
      </c>
      <c r="P54" s="14">
        <v>0</v>
      </c>
      <c r="Q54" s="14">
        <v>9</v>
      </c>
      <c r="R54" s="14"/>
    </row>
    <row r="55" spans="1:19" x14ac:dyDescent="0.2">
      <c r="A55" s="21"/>
      <c r="B55" s="14" t="s">
        <v>113</v>
      </c>
      <c r="C55" s="21"/>
      <c r="D55" s="14" t="s">
        <v>22</v>
      </c>
      <c r="E55" s="14"/>
      <c r="F55" s="14"/>
      <c r="G55" s="14"/>
      <c r="H55" s="14"/>
      <c r="I55" s="14"/>
      <c r="J55" s="14"/>
      <c r="K55" s="14"/>
      <c r="L55" s="14">
        <f>IF(LEN(M55)=0,"",MATCH($M55,INDEX(params!$B$3:$I$125,MATCH($B55,params!$A$3:$A$125,0),),0)-1)</f>
        <v>0</v>
      </c>
      <c r="M55" s="14" t="s">
        <v>113</v>
      </c>
      <c r="N55" s="12">
        <v>1</v>
      </c>
      <c r="O55" s="12">
        <v>0</v>
      </c>
      <c r="P55" s="14">
        <v>0</v>
      </c>
      <c r="Q55" s="14">
        <v>9</v>
      </c>
      <c r="R55" s="14"/>
    </row>
    <row r="56" spans="1:19" x14ac:dyDescent="0.2">
      <c r="A56" s="21"/>
      <c r="B56" s="14" t="s">
        <v>114</v>
      </c>
      <c r="C56" s="21"/>
      <c r="D56" s="14" t="s">
        <v>24</v>
      </c>
      <c r="E56" s="14"/>
      <c r="F56" s="14"/>
      <c r="G56" s="14"/>
      <c r="H56" s="14"/>
      <c r="I56" s="14"/>
      <c r="J56" s="14"/>
      <c r="K56" s="14"/>
      <c r="L56" s="14">
        <f>IF(LEN(M56)=0,"",MATCH($M56,INDEX(params!$B$3:$I$125,MATCH($B56,params!$A$3:$A$125,0),),0)-1)</f>
        <v>0</v>
      </c>
      <c r="M56" s="14" t="s">
        <v>114</v>
      </c>
      <c r="N56" s="12">
        <v>0</v>
      </c>
      <c r="O56" s="12">
        <v>0</v>
      </c>
      <c r="P56" s="14">
        <v>0</v>
      </c>
      <c r="Q56" s="14">
        <v>9</v>
      </c>
      <c r="R56" s="14"/>
    </row>
    <row r="57" spans="1:19" x14ac:dyDescent="0.2">
      <c r="A57" s="21"/>
      <c r="B57" s="14" t="s">
        <v>115</v>
      </c>
      <c r="C57" s="21"/>
      <c r="D57" s="14" t="s">
        <v>26</v>
      </c>
      <c r="E57" s="14"/>
      <c r="F57" s="14"/>
      <c r="G57" s="14"/>
      <c r="H57" s="14"/>
      <c r="I57" s="14"/>
      <c r="J57" s="14"/>
      <c r="K57" s="14"/>
      <c r="L57" s="14">
        <f>IF(LEN(M57)=0,"",MATCH($M57,INDEX(params!$B$3:$I$125,MATCH($B57,params!$A$3:$A$125,0),),0)-1)</f>
        <v>0</v>
      </c>
      <c r="M57" s="14" t="s">
        <v>115</v>
      </c>
      <c r="N57" s="12">
        <v>1</v>
      </c>
      <c r="O57" s="12">
        <v>0</v>
      </c>
      <c r="P57" s="14">
        <v>0</v>
      </c>
      <c r="Q57" s="14">
        <v>9</v>
      </c>
      <c r="R57" s="14"/>
    </row>
    <row r="58" spans="1:19" x14ac:dyDescent="0.2">
      <c r="A58" s="21"/>
      <c r="B58" s="14" t="s">
        <v>116</v>
      </c>
      <c r="C58" s="21"/>
      <c r="D58" s="14" t="s">
        <v>28</v>
      </c>
      <c r="E58" s="14"/>
      <c r="F58" s="14"/>
      <c r="G58" s="14"/>
      <c r="H58" s="14"/>
      <c r="I58" s="14"/>
      <c r="J58" s="14"/>
      <c r="K58" s="14"/>
      <c r="L58" s="14">
        <f>IF(LEN(M58)=0,"",MATCH($M58,INDEX(params!$B$3:$I$125,MATCH($B58,params!$A$3:$A$125,0),),0)-1)</f>
        <v>0</v>
      </c>
      <c r="M58" s="14" t="s">
        <v>116</v>
      </c>
      <c r="N58" s="12">
        <v>1</v>
      </c>
      <c r="O58" s="12">
        <v>0</v>
      </c>
      <c r="P58" s="14">
        <v>0</v>
      </c>
      <c r="Q58" s="14">
        <v>9</v>
      </c>
      <c r="R58" s="14"/>
    </row>
    <row r="59" spans="1:19" x14ac:dyDescent="0.2">
      <c r="A59" s="22"/>
      <c r="B59" s="14" t="s">
        <v>117</v>
      </c>
      <c r="C59" s="22"/>
      <c r="D59" s="14" t="s">
        <v>30</v>
      </c>
      <c r="E59" s="14"/>
      <c r="F59" s="14"/>
      <c r="G59" s="14"/>
      <c r="H59" s="14"/>
      <c r="I59" s="14"/>
      <c r="J59" s="14"/>
      <c r="K59" s="14"/>
      <c r="L59" s="14">
        <f>IF(LEN(M59)=0,"",MATCH($M59,INDEX(params!$B$3:$I$125,MATCH($B59,params!$A$3:$A$125,0),),0)-1)</f>
        <v>0</v>
      </c>
      <c r="M59" s="14" t="s">
        <v>117</v>
      </c>
      <c r="N59" s="12">
        <v>1</v>
      </c>
      <c r="O59" s="12">
        <v>0</v>
      </c>
      <c r="P59" s="14">
        <v>0</v>
      </c>
      <c r="Q59" s="14">
        <v>9</v>
      </c>
      <c r="R59" s="14"/>
    </row>
    <row r="60" spans="1:19" customFormat="1" x14ac:dyDescent="0.2">
      <c r="A60" s="23" t="s">
        <v>118</v>
      </c>
      <c r="B60" s="10" t="s">
        <v>774</v>
      </c>
      <c r="C60" s="24" t="s">
        <v>701</v>
      </c>
      <c r="D60" s="10" t="s">
        <v>775</v>
      </c>
      <c r="E60" s="35"/>
      <c r="F60" s="35"/>
      <c r="G60" s="35"/>
      <c r="H60" s="35"/>
      <c r="I60" s="35"/>
      <c r="J60" s="35"/>
      <c r="K60" s="35"/>
      <c r="L60" s="36"/>
      <c r="M60" s="9"/>
      <c r="N60" s="9"/>
      <c r="O60" s="9"/>
      <c r="P60" s="9"/>
      <c r="Q60" s="9">
        <v>1</v>
      </c>
      <c r="R60" s="9"/>
      <c r="S60" s="13"/>
    </row>
    <row r="61" spans="1:19" ht="16.5" x14ac:dyDescent="0.3">
      <c r="A61" s="21"/>
      <c r="B61" s="14" t="s">
        <v>119</v>
      </c>
      <c r="C61" s="25"/>
      <c r="D61" s="14" t="s">
        <v>20</v>
      </c>
      <c r="E61" s="14"/>
      <c r="F61" s="14"/>
      <c r="G61" s="14"/>
      <c r="H61" s="14"/>
      <c r="I61" s="14"/>
      <c r="J61" s="14"/>
      <c r="K61" s="14"/>
      <c r="L61" s="14">
        <f>IF(LEN(M61)=0,"",MATCH($M61,INDEX(params!$B$3:$I$125,MATCH($B61,params!$A$3:$A$125,0),),0)-1)</f>
        <v>0</v>
      </c>
      <c r="M61" s="14" t="s">
        <v>119</v>
      </c>
      <c r="N61" s="16">
        <v>1</v>
      </c>
      <c r="O61" s="16">
        <v>0</v>
      </c>
      <c r="P61" s="14">
        <v>0</v>
      </c>
      <c r="Q61" s="14">
        <v>3</v>
      </c>
      <c r="R61" s="14"/>
    </row>
    <row r="62" spans="1:19" ht="16.5" x14ac:dyDescent="0.3">
      <c r="A62" s="21"/>
      <c r="B62" s="14" t="s">
        <v>120</v>
      </c>
      <c r="C62" s="21"/>
      <c r="D62" s="14" t="s">
        <v>22</v>
      </c>
      <c r="E62" s="14"/>
      <c r="F62" s="14"/>
      <c r="G62" s="14"/>
      <c r="H62" s="14"/>
      <c r="I62" s="14"/>
      <c r="J62" s="14"/>
      <c r="K62" s="14"/>
      <c r="L62" s="14">
        <f>IF(LEN(M62)=0,"",MATCH($M62,INDEX(params!$B$3:$I$125,MATCH($B62,params!$A$3:$A$125,0),),0)-1)</f>
        <v>6</v>
      </c>
      <c r="M62" s="14" t="s">
        <v>574</v>
      </c>
      <c r="N62" s="16">
        <v>1</v>
      </c>
      <c r="O62" s="16">
        <v>0</v>
      </c>
      <c r="P62" s="14">
        <v>0</v>
      </c>
      <c r="Q62" s="14">
        <v>3</v>
      </c>
      <c r="R62" s="14"/>
    </row>
    <row r="63" spans="1:19" ht="16.5" x14ac:dyDescent="0.3">
      <c r="A63" s="21"/>
      <c r="B63" s="14" t="s">
        <v>121</v>
      </c>
      <c r="C63" s="21"/>
      <c r="D63" s="14" t="s">
        <v>24</v>
      </c>
      <c r="E63" s="14"/>
      <c r="F63" s="14"/>
      <c r="G63" s="14"/>
      <c r="H63" s="14"/>
      <c r="I63" s="14"/>
      <c r="J63" s="14"/>
      <c r="K63" s="14"/>
      <c r="L63" s="14">
        <f>IF(LEN(M63)=0,"",MATCH($M63,INDEX(params!$B$3:$I$125,MATCH($B63,params!$A$3:$A$125,0),),0)-1)</f>
        <v>0</v>
      </c>
      <c r="M63" s="14" t="s">
        <v>121</v>
      </c>
      <c r="N63" s="16">
        <v>1</v>
      </c>
      <c r="O63" s="16">
        <v>0</v>
      </c>
      <c r="P63" s="14">
        <v>0</v>
      </c>
      <c r="Q63" s="14">
        <v>3</v>
      </c>
      <c r="R63" s="14"/>
    </row>
    <row r="64" spans="1:19" ht="16.5" x14ac:dyDescent="0.3">
      <c r="A64" s="21"/>
      <c r="B64" s="14" t="s">
        <v>122</v>
      </c>
      <c r="C64" s="21"/>
      <c r="D64" s="14" t="s">
        <v>26</v>
      </c>
      <c r="E64" s="14"/>
      <c r="F64" s="14"/>
      <c r="G64" s="14"/>
      <c r="H64" s="14"/>
      <c r="I64" s="14"/>
      <c r="J64" s="14"/>
      <c r="K64" s="14"/>
      <c r="L64" s="14">
        <f>IF(LEN(M64)=0,"",MATCH($M64,INDEX(params!$B$3:$I$125,MATCH($B64,params!$A$3:$A$125,0),),0)-1)</f>
        <v>0</v>
      </c>
      <c r="M64" s="14" t="s">
        <v>122</v>
      </c>
      <c r="N64" s="16">
        <v>1</v>
      </c>
      <c r="O64" s="16">
        <v>0</v>
      </c>
      <c r="P64" s="14">
        <v>0</v>
      </c>
      <c r="Q64" s="14">
        <v>3</v>
      </c>
      <c r="R64" s="14"/>
    </row>
    <row r="65" spans="1:19" ht="16.5" x14ac:dyDescent="0.3">
      <c r="A65" s="21"/>
      <c r="B65" s="14" t="s">
        <v>123</v>
      </c>
      <c r="C65" s="21"/>
      <c r="D65" s="14" t="s">
        <v>28</v>
      </c>
      <c r="E65" s="14"/>
      <c r="F65" s="14"/>
      <c r="G65" s="14"/>
      <c r="H65" s="14"/>
      <c r="I65" s="14"/>
      <c r="J65" s="14"/>
      <c r="K65" s="14"/>
      <c r="L65" s="14">
        <f>IF(LEN(M65)=0,"",MATCH($M65,INDEX(params!$B$3:$I$125,MATCH($B65,params!$A$3:$A$125,0),),0)-1)</f>
        <v>0</v>
      </c>
      <c r="M65" s="14" t="s">
        <v>123</v>
      </c>
      <c r="N65" s="16">
        <v>0</v>
      </c>
      <c r="O65" s="16">
        <v>1</v>
      </c>
      <c r="P65" s="14">
        <v>0</v>
      </c>
      <c r="Q65" s="14">
        <v>3</v>
      </c>
      <c r="R65" s="14"/>
    </row>
    <row r="66" spans="1:19" ht="16.5" x14ac:dyDescent="0.3">
      <c r="A66" s="21"/>
      <c r="B66" s="14" t="s">
        <v>124</v>
      </c>
      <c r="C66" s="21"/>
      <c r="D66" s="14" t="s">
        <v>30</v>
      </c>
      <c r="E66" s="14"/>
      <c r="F66" s="14"/>
      <c r="G66" s="14"/>
      <c r="H66" s="14"/>
      <c r="I66" s="14"/>
      <c r="J66" s="14"/>
      <c r="K66" s="14"/>
      <c r="L66" s="14">
        <f>IF(LEN(M66)=0,"",MATCH($M66,INDEX(params!$B$3:$I$125,MATCH($B66,params!$A$3:$A$125,0),),0)-1)</f>
        <v>0</v>
      </c>
      <c r="M66" s="14" t="s">
        <v>124</v>
      </c>
      <c r="N66" s="16">
        <v>1</v>
      </c>
      <c r="O66" s="16">
        <v>0</v>
      </c>
      <c r="P66" s="14">
        <v>0</v>
      </c>
      <c r="Q66" s="14">
        <v>3</v>
      </c>
      <c r="R66" s="14"/>
    </row>
    <row r="67" spans="1:19" ht="16.5" x14ac:dyDescent="0.3">
      <c r="A67" s="21"/>
      <c r="B67" s="14" t="s">
        <v>125</v>
      </c>
      <c r="C67" s="21"/>
      <c r="D67" s="14" t="s">
        <v>32</v>
      </c>
      <c r="E67" s="14"/>
      <c r="F67" s="14"/>
      <c r="G67" s="14"/>
      <c r="H67" s="14"/>
      <c r="I67" s="14"/>
      <c r="J67" s="14"/>
      <c r="K67" s="14"/>
      <c r="L67" s="14">
        <f>IF(LEN(M67)=0,"",MATCH($M67,INDEX(params!$B$3:$I$125,MATCH($B67,params!$A$3:$A$125,0),),0)-1)</f>
        <v>0</v>
      </c>
      <c r="M67" s="14" t="s">
        <v>125</v>
      </c>
      <c r="N67" s="16">
        <v>1</v>
      </c>
      <c r="O67" s="16">
        <v>0</v>
      </c>
      <c r="P67" s="14">
        <v>0</v>
      </c>
      <c r="Q67" s="14">
        <v>3</v>
      </c>
      <c r="R67" s="14"/>
    </row>
    <row r="68" spans="1:19" ht="16.5" x14ac:dyDescent="0.3">
      <c r="A68" s="21"/>
      <c r="B68" s="14" t="s">
        <v>126</v>
      </c>
      <c r="C68" s="21"/>
      <c r="D68" s="14" t="s">
        <v>34</v>
      </c>
      <c r="E68" s="14"/>
      <c r="F68" s="14"/>
      <c r="G68" s="14"/>
      <c r="H68" s="14"/>
      <c r="I68" s="14"/>
      <c r="J68" s="14"/>
      <c r="K68" s="14"/>
      <c r="L68" s="14">
        <f>IF(LEN(M68)=0,"",MATCH($M68,INDEX(params!$B$3:$I$125,MATCH($B68,params!$A$3:$A$125,0),),0)-1)</f>
        <v>0</v>
      </c>
      <c r="M68" s="14" t="s">
        <v>126</v>
      </c>
      <c r="N68" s="16">
        <v>1</v>
      </c>
      <c r="O68" s="16">
        <v>0</v>
      </c>
      <c r="P68" s="14">
        <v>0</v>
      </c>
      <c r="Q68" s="14">
        <v>3</v>
      </c>
      <c r="R68" s="14"/>
    </row>
    <row r="69" spans="1:19" ht="16.5" x14ac:dyDescent="0.3">
      <c r="A69" s="21"/>
      <c r="B69" s="14" t="s">
        <v>127</v>
      </c>
      <c r="C69" s="21"/>
      <c r="D69" s="14" t="s">
        <v>36</v>
      </c>
      <c r="E69" s="14"/>
      <c r="F69" s="14"/>
      <c r="G69" s="14"/>
      <c r="H69" s="14"/>
      <c r="I69" s="14"/>
      <c r="J69" s="14"/>
      <c r="K69" s="14"/>
      <c r="L69" s="14">
        <f>IF(LEN(M69)=0,"",MATCH($M69,INDEX(params!$B$3:$I$125,MATCH($B69,params!$A$3:$A$125,0),),0)-1)</f>
        <v>0</v>
      </c>
      <c r="M69" s="14" t="s">
        <v>127</v>
      </c>
      <c r="N69" s="16">
        <v>0</v>
      </c>
      <c r="O69" s="16">
        <v>0</v>
      </c>
      <c r="P69" s="14">
        <v>0</v>
      </c>
      <c r="Q69" s="14">
        <v>3</v>
      </c>
      <c r="R69" s="14"/>
    </row>
    <row r="70" spans="1:19" ht="16.5" x14ac:dyDescent="0.3">
      <c r="A70" s="21"/>
      <c r="B70" s="14" t="s">
        <v>128</v>
      </c>
      <c r="C70" s="21"/>
      <c r="D70" s="14" t="s">
        <v>38</v>
      </c>
      <c r="E70" s="14"/>
      <c r="F70" s="14"/>
      <c r="G70" s="14"/>
      <c r="H70" s="14"/>
      <c r="I70" s="14"/>
      <c r="J70" s="14"/>
      <c r="K70" s="14"/>
      <c r="L70" s="14">
        <f>IF(LEN(M70)=0,"",MATCH($M70,INDEX(params!$B$3:$I$125,MATCH($B70,params!$A$3:$A$125,0),),0)-1)</f>
        <v>0</v>
      </c>
      <c r="M70" s="14" t="s">
        <v>128</v>
      </c>
      <c r="N70" s="16">
        <v>1</v>
      </c>
      <c r="O70" s="16">
        <v>0</v>
      </c>
      <c r="P70" s="14">
        <v>0</v>
      </c>
      <c r="Q70" s="14">
        <v>3</v>
      </c>
      <c r="R70" s="14"/>
    </row>
    <row r="71" spans="1:19" ht="16.5" x14ac:dyDescent="0.3">
      <c r="A71" s="21"/>
      <c r="B71" s="14" t="s">
        <v>129</v>
      </c>
      <c r="C71" s="21"/>
      <c r="D71" s="14" t="s">
        <v>40</v>
      </c>
      <c r="E71" s="14"/>
      <c r="F71" s="14"/>
      <c r="G71" s="14"/>
      <c r="H71" s="14"/>
      <c r="I71" s="14"/>
      <c r="J71" s="14"/>
      <c r="K71" s="14"/>
      <c r="L71" s="14">
        <f>IF(LEN(M71)=0,"",MATCH($M71,INDEX(params!$B$3:$I$125,MATCH($B71,params!$A$3:$A$125,0),),0)-1)</f>
        <v>0</v>
      </c>
      <c r="M71" s="14" t="s">
        <v>129</v>
      </c>
      <c r="N71" s="16">
        <v>1</v>
      </c>
      <c r="O71" s="16">
        <v>0</v>
      </c>
      <c r="P71" s="14">
        <v>0</v>
      </c>
      <c r="Q71" s="14">
        <v>3</v>
      </c>
      <c r="R71" s="14"/>
    </row>
    <row r="72" spans="1:19" ht="16.5" x14ac:dyDescent="0.3">
      <c r="A72" s="22"/>
      <c r="B72" s="14" t="s">
        <v>130</v>
      </c>
      <c r="C72" s="22"/>
      <c r="D72" s="14" t="s">
        <v>57</v>
      </c>
      <c r="E72" s="14"/>
      <c r="F72" s="14"/>
      <c r="G72" s="14"/>
      <c r="H72" s="14"/>
      <c r="I72" s="14"/>
      <c r="J72" s="14"/>
      <c r="K72" s="14"/>
      <c r="L72" s="14">
        <f>IF(LEN(M72)=0,"",MATCH($M72,INDEX(params!$B$3:$I$125,MATCH($B72,params!$A$3:$A$125,0),),0)-1)</f>
        <v>0</v>
      </c>
      <c r="M72" s="14" t="s">
        <v>130</v>
      </c>
      <c r="N72" s="16">
        <v>1</v>
      </c>
      <c r="O72" s="16">
        <v>0</v>
      </c>
      <c r="P72" s="14">
        <v>0</v>
      </c>
      <c r="Q72" s="14">
        <v>3</v>
      </c>
      <c r="R72" s="14"/>
    </row>
    <row r="73" spans="1:19" customFormat="1" x14ac:dyDescent="0.2">
      <c r="A73" s="23" t="s">
        <v>131</v>
      </c>
      <c r="B73" s="10" t="s">
        <v>774</v>
      </c>
      <c r="C73" s="24" t="s">
        <v>709</v>
      </c>
      <c r="D73" s="10" t="s">
        <v>775</v>
      </c>
      <c r="E73" s="35"/>
      <c r="F73" s="35"/>
      <c r="G73" s="35"/>
      <c r="H73" s="35"/>
      <c r="I73" s="35"/>
      <c r="J73" s="35"/>
      <c r="K73" s="35"/>
      <c r="L73" s="36"/>
      <c r="M73" s="9"/>
      <c r="N73" s="9"/>
      <c r="O73" s="9"/>
      <c r="P73" s="9"/>
      <c r="Q73" s="9">
        <v>1</v>
      </c>
      <c r="R73" s="9"/>
      <c r="S73" s="13"/>
    </row>
    <row r="74" spans="1:19" ht="16.5" x14ac:dyDescent="0.3">
      <c r="A74" s="21"/>
      <c r="B74" s="14" t="s">
        <v>132</v>
      </c>
      <c r="C74" s="25"/>
      <c r="D74" s="14" t="s">
        <v>20</v>
      </c>
      <c r="E74" s="14"/>
      <c r="F74" s="14"/>
      <c r="G74" s="14"/>
      <c r="H74" s="14"/>
      <c r="I74" s="14"/>
      <c r="J74" s="14"/>
      <c r="K74" s="14"/>
      <c r="L74" s="14">
        <f>IF(LEN(M74)=0,"",MATCH($M74,INDEX(params!$B$3:$I$125,MATCH($B74,params!$A$3:$A$125,0),),0)-1)</f>
        <v>1</v>
      </c>
      <c r="M74" s="14" t="s">
        <v>619</v>
      </c>
      <c r="N74" s="16">
        <v>1</v>
      </c>
      <c r="O74" s="16">
        <v>0</v>
      </c>
      <c r="P74" s="14">
        <v>0</v>
      </c>
      <c r="Q74" s="14">
        <v>3</v>
      </c>
      <c r="R74" s="14"/>
    </row>
    <row r="75" spans="1:19" ht="16.5" x14ac:dyDescent="0.3">
      <c r="A75" s="21"/>
      <c r="B75" s="14" t="s">
        <v>133</v>
      </c>
      <c r="C75" s="21"/>
      <c r="D75" s="14" t="s">
        <v>22</v>
      </c>
      <c r="E75" s="14"/>
      <c r="F75" s="14"/>
      <c r="G75" s="14"/>
      <c r="H75" s="14"/>
      <c r="I75" s="14"/>
      <c r="J75" s="14"/>
      <c r="K75" s="14"/>
      <c r="L75" s="14">
        <f>IF(LEN(M75)=0,"",MATCH($M75,INDEX(params!$B$3:$I$125,MATCH($B75,params!$A$3:$A$125,0),),0)-1)</f>
        <v>1</v>
      </c>
      <c r="M75" s="14" t="s">
        <v>625</v>
      </c>
      <c r="N75" s="16">
        <v>1</v>
      </c>
      <c r="O75" s="16">
        <v>0</v>
      </c>
      <c r="P75" s="14">
        <v>0</v>
      </c>
      <c r="Q75" s="14">
        <v>3</v>
      </c>
      <c r="R75" s="14"/>
    </row>
    <row r="76" spans="1:19" ht="16.5" x14ac:dyDescent="0.3">
      <c r="A76" s="21"/>
      <c r="B76" s="14" t="s">
        <v>134</v>
      </c>
      <c r="C76" s="21"/>
      <c r="D76" s="14" t="s">
        <v>24</v>
      </c>
      <c r="E76" s="14"/>
      <c r="F76" s="14"/>
      <c r="G76" s="14"/>
      <c r="H76" s="14"/>
      <c r="I76" s="14"/>
      <c r="J76" s="14"/>
      <c r="K76" s="14"/>
      <c r="L76" s="14">
        <f>IF(LEN(M76)=0,"",MATCH($M76,INDEX(params!$B$3:$I$125,MATCH($B76,params!$A$3:$A$125,0),),0)-1)</f>
        <v>2</v>
      </c>
      <c r="M76" s="14" t="s">
        <v>632</v>
      </c>
      <c r="N76" s="16">
        <v>1</v>
      </c>
      <c r="O76" s="16">
        <v>0</v>
      </c>
      <c r="P76" s="14">
        <v>0</v>
      </c>
      <c r="Q76" s="14">
        <v>3</v>
      </c>
      <c r="R76" s="14"/>
    </row>
    <row r="77" spans="1:19" ht="16.5" x14ac:dyDescent="0.3">
      <c r="A77" s="21"/>
      <c r="B77" s="14" t="s">
        <v>135</v>
      </c>
      <c r="C77" s="21"/>
      <c r="D77" s="14" t="s">
        <v>26</v>
      </c>
      <c r="E77" s="14"/>
      <c r="F77" s="14"/>
      <c r="G77" s="14"/>
      <c r="H77" s="14"/>
      <c r="I77" s="14"/>
      <c r="J77" s="14"/>
      <c r="K77" s="14"/>
      <c r="L77" s="14">
        <f>IF(LEN(M77)=0,"",MATCH($M77,INDEX(params!$B$3:$I$125,MATCH($B77,params!$A$3:$A$125,0),),0)-1)</f>
        <v>1</v>
      </c>
      <c r="M77" s="14" t="s">
        <v>638</v>
      </c>
      <c r="N77" s="16">
        <v>1</v>
      </c>
      <c r="O77" s="16">
        <v>0</v>
      </c>
      <c r="P77" s="14">
        <v>0</v>
      </c>
      <c r="Q77" s="14">
        <v>3</v>
      </c>
      <c r="R77" s="14"/>
    </row>
    <row r="78" spans="1:19" ht="16.5" x14ac:dyDescent="0.3">
      <c r="A78" s="21"/>
      <c r="B78" s="14" t="s">
        <v>136</v>
      </c>
      <c r="C78" s="21"/>
      <c r="D78" s="14" t="s">
        <v>28</v>
      </c>
      <c r="E78" s="14"/>
      <c r="F78" s="14"/>
      <c r="G78" s="14"/>
      <c r="H78" s="14"/>
      <c r="I78" s="14"/>
      <c r="J78" s="14"/>
      <c r="K78" s="14"/>
      <c r="L78" s="14">
        <f>IF(LEN(M78)=0,"",MATCH($M78,INDEX(params!$B$3:$I$125,MATCH($B78,params!$A$3:$A$125,0),),0)-1)</f>
        <v>1</v>
      </c>
      <c r="M78" s="14" t="s">
        <v>643</v>
      </c>
      <c r="N78" s="16">
        <v>1</v>
      </c>
      <c r="O78" s="16">
        <v>0</v>
      </c>
      <c r="P78" s="14">
        <v>0</v>
      </c>
      <c r="Q78" s="14">
        <v>3</v>
      </c>
      <c r="R78" s="14"/>
    </row>
    <row r="79" spans="1:19" ht="16.5" x14ac:dyDescent="0.3">
      <c r="A79" s="22"/>
      <c r="B79" s="14" t="s">
        <v>137</v>
      </c>
      <c r="C79" s="22"/>
      <c r="D79" s="14" t="s">
        <v>30</v>
      </c>
      <c r="E79" s="14"/>
      <c r="F79" s="14"/>
      <c r="G79" s="14"/>
      <c r="H79" s="14"/>
      <c r="I79" s="14"/>
      <c r="J79" s="14"/>
      <c r="K79" s="14"/>
      <c r="L79" s="14">
        <f>IF(LEN(M79)=0,"",MATCH($M79,INDEX(params!$B$3:$I$125,MATCH($B79,params!$A$3:$A$125,0),),0)-1)</f>
        <v>1</v>
      </c>
      <c r="M79" s="14" t="s">
        <v>648</v>
      </c>
      <c r="N79" s="16">
        <v>1</v>
      </c>
      <c r="O79" s="16">
        <v>0</v>
      </c>
      <c r="P79" s="14">
        <v>0</v>
      </c>
      <c r="Q79" s="14">
        <v>3</v>
      </c>
      <c r="R79" s="14"/>
    </row>
    <row r="80" spans="1:19" customFormat="1" x14ac:dyDescent="0.2">
      <c r="A80" s="24" t="s">
        <v>698</v>
      </c>
      <c r="B80" s="10" t="s">
        <v>774</v>
      </c>
      <c r="C80" s="24" t="s">
        <v>699</v>
      </c>
      <c r="D80" s="10" t="s">
        <v>775</v>
      </c>
      <c r="E80" s="35"/>
      <c r="F80" s="35"/>
      <c r="G80" s="35"/>
      <c r="H80" s="35"/>
      <c r="I80" s="35"/>
      <c r="J80" s="35"/>
      <c r="K80" s="35"/>
      <c r="L80" s="36"/>
      <c r="M80" s="9"/>
      <c r="N80" s="9"/>
      <c r="O80" s="9"/>
      <c r="P80" s="9"/>
      <c r="Q80" s="9">
        <v>1</v>
      </c>
      <c r="R80" s="9"/>
      <c r="S80" s="13"/>
    </row>
    <row r="81" spans="1:18" ht="16.5" x14ac:dyDescent="0.3">
      <c r="A81" s="25"/>
      <c r="B81" s="14" t="s">
        <v>688</v>
      </c>
      <c r="C81" s="25"/>
      <c r="D81" s="14" t="s">
        <v>20</v>
      </c>
      <c r="E81" s="14"/>
      <c r="F81" s="14"/>
      <c r="G81" s="14"/>
      <c r="H81" s="14"/>
      <c r="I81" s="14"/>
      <c r="J81" s="14"/>
      <c r="K81" s="14"/>
      <c r="L81" s="14">
        <f>IF(LEN(M81)=0,"",MATCH($M81,INDEX(params!$B$3:$I$125,MATCH($B81,params!$A$3:$A$125,0),),0)-1)</f>
        <v>0</v>
      </c>
      <c r="M81" s="14" t="s">
        <v>688</v>
      </c>
      <c r="N81" s="16">
        <v>0</v>
      </c>
      <c r="O81" s="16">
        <v>0</v>
      </c>
      <c r="P81" s="14">
        <v>0</v>
      </c>
      <c r="Q81" s="14">
        <v>3</v>
      </c>
      <c r="R81" s="14"/>
    </row>
    <row r="82" spans="1:18" ht="16.5" x14ac:dyDescent="0.3">
      <c r="A82" s="21"/>
      <c r="B82" s="14" t="s">
        <v>689</v>
      </c>
      <c r="C82" s="21"/>
      <c r="D82" s="14" t="s">
        <v>22</v>
      </c>
      <c r="E82" s="14"/>
      <c r="F82" s="14"/>
      <c r="G82" s="14"/>
      <c r="H82" s="14"/>
      <c r="I82" s="14"/>
      <c r="J82" s="14"/>
      <c r="K82" s="14"/>
      <c r="L82" s="14">
        <f>IF(LEN(M82)=0,"",MATCH($M82,INDEX(params!$B$3:$I$125,MATCH($B82,params!$A$3:$A$125,0),),0)-1)</f>
        <v>0</v>
      </c>
      <c r="M82" s="14" t="s">
        <v>689</v>
      </c>
      <c r="N82" s="16">
        <v>0</v>
      </c>
      <c r="O82" s="16">
        <v>0</v>
      </c>
      <c r="P82" s="14">
        <v>0</v>
      </c>
      <c r="Q82" s="14">
        <v>3</v>
      </c>
      <c r="R82" s="14"/>
    </row>
    <row r="83" spans="1:18" ht="16.5" x14ac:dyDescent="0.3">
      <c r="A83" s="21"/>
      <c r="B83" s="14" t="s">
        <v>690</v>
      </c>
      <c r="C83" s="21"/>
      <c r="D83" s="14" t="s">
        <v>24</v>
      </c>
      <c r="E83" s="14"/>
      <c r="F83" s="14"/>
      <c r="G83" s="14"/>
      <c r="H83" s="14"/>
      <c r="I83" s="14"/>
      <c r="J83" s="14"/>
      <c r="K83" s="14"/>
      <c r="L83" s="14">
        <f>IF(LEN(M83)=0,"",MATCH($M83,INDEX(params!$B$3:$I$125,MATCH($B83,params!$A$3:$A$125,0),),0)-1)</f>
        <v>0</v>
      </c>
      <c r="M83" s="14" t="s">
        <v>690</v>
      </c>
      <c r="N83" s="16">
        <v>0</v>
      </c>
      <c r="O83" s="16">
        <v>0</v>
      </c>
      <c r="P83" s="14">
        <v>0</v>
      </c>
      <c r="Q83" s="14">
        <v>3</v>
      </c>
      <c r="R83" s="14"/>
    </row>
    <row r="84" spans="1:18" ht="16.5" x14ac:dyDescent="0.3">
      <c r="A84" s="21"/>
      <c r="B84" s="14" t="s">
        <v>691</v>
      </c>
      <c r="C84" s="21"/>
      <c r="D84" s="14" t="s">
        <v>26</v>
      </c>
      <c r="E84" s="14"/>
      <c r="F84" s="14"/>
      <c r="G84" s="14"/>
      <c r="H84" s="14"/>
      <c r="I84" s="14"/>
      <c r="J84" s="14"/>
      <c r="K84" s="14"/>
      <c r="L84" s="14">
        <f>IF(LEN(M84)=0,"",MATCH($M84,INDEX(params!$B$3:$I$125,MATCH($B84,params!$A$3:$A$125,0),),0)-1)</f>
        <v>0</v>
      </c>
      <c r="M84" s="14" t="s">
        <v>691</v>
      </c>
      <c r="N84" s="16">
        <v>0</v>
      </c>
      <c r="O84" s="16">
        <v>0</v>
      </c>
      <c r="P84" s="14">
        <v>0</v>
      </c>
      <c r="Q84" s="14">
        <v>3</v>
      </c>
      <c r="R84" s="14"/>
    </row>
    <row r="85" spans="1:18" ht="16.5" x14ac:dyDescent="0.3">
      <c r="A85" s="21"/>
      <c r="B85" s="14" t="s">
        <v>692</v>
      </c>
      <c r="C85" s="21"/>
      <c r="D85" s="14" t="s">
        <v>28</v>
      </c>
      <c r="E85" s="14"/>
      <c r="F85" s="14"/>
      <c r="G85" s="14"/>
      <c r="H85" s="14"/>
      <c r="I85" s="14"/>
      <c r="J85" s="14"/>
      <c r="K85" s="14"/>
      <c r="L85" s="14">
        <f>IF(LEN(M85)=0,"",MATCH($M85,INDEX(params!$B$3:$I$125,MATCH($B85,params!$A$3:$A$125,0),),0)-1)</f>
        <v>0</v>
      </c>
      <c r="M85" s="14" t="s">
        <v>692</v>
      </c>
      <c r="N85" s="16">
        <v>0</v>
      </c>
      <c r="O85" s="16">
        <v>0</v>
      </c>
      <c r="P85" s="14">
        <v>0</v>
      </c>
      <c r="Q85" s="14">
        <v>3</v>
      </c>
      <c r="R85" s="14"/>
    </row>
    <row r="86" spans="1:18" ht="16.5" x14ac:dyDescent="0.3">
      <c r="A86" s="21"/>
      <c r="B86" s="14" t="s">
        <v>693</v>
      </c>
      <c r="C86" s="21"/>
      <c r="D86" s="14" t="s">
        <v>30</v>
      </c>
      <c r="E86" s="14"/>
      <c r="F86" s="14"/>
      <c r="G86" s="14"/>
      <c r="H86" s="14"/>
      <c r="I86" s="14"/>
      <c r="J86" s="14"/>
      <c r="K86" s="14"/>
      <c r="L86" s="14">
        <f>IF(LEN(M86)=0,"",MATCH($M86,INDEX(params!$B$3:$I$125,MATCH($B86,params!$A$3:$A$125,0),),0)-1)</f>
        <v>0</v>
      </c>
      <c r="M86" s="14" t="s">
        <v>693</v>
      </c>
      <c r="N86" s="16">
        <v>0</v>
      </c>
      <c r="O86" s="16">
        <v>0</v>
      </c>
      <c r="P86" s="14">
        <v>0</v>
      </c>
      <c r="Q86" s="14">
        <v>3</v>
      </c>
      <c r="R86" s="14"/>
    </row>
    <row r="87" spans="1:18" ht="16.5" x14ac:dyDescent="0.3">
      <c r="A87" s="21"/>
      <c r="B87" s="14" t="s">
        <v>694</v>
      </c>
      <c r="C87" s="21"/>
      <c r="D87" s="14" t="s">
        <v>32</v>
      </c>
      <c r="E87" s="14"/>
      <c r="F87" s="14"/>
      <c r="G87" s="14"/>
      <c r="H87" s="14"/>
      <c r="I87" s="14"/>
      <c r="J87" s="14"/>
      <c r="K87" s="14"/>
      <c r="L87" s="14">
        <f>IF(LEN(M87)=0,"",MATCH($M87,INDEX(params!$B$3:$I$125,MATCH($B87,params!$A$3:$A$125,0),),0)-1)</f>
        <v>0</v>
      </c>
      <c r="M87" s="14" t="s">
        <v>694</v>
      </c>
      <c r="N87" s="16">
        <v>0</v>
      </c>
      <c r="O87" s="16">
        <v>0</v>
      </c>
      <c r="P87" s="14">
        <v>0</v>
      </c>
      <c r="Q87" s="14">
        <v>3</v>
      </c>
      <c r="R87" s="14"/>
    </row>
    <row r="88" spans="1:18" ht="16.5" x14ac:dyDescent="0.3">
      <c r="A88" s="21"/>
      <c r="B88" s="14" t="s">
        <v>695</v>
      </c>
      <c r="C88" s="21"/>
      <c r="D88" s="14" t="s">
        <v>34</v>
      </c>
      <c r="E88" s="14"/>
      <c r="F88" s="14"/>
      <c r="G88" s="14"/>
      <c r="H88" s="14"/>
      <c r="I88" s="14"/>
      <c r="J88" s="14"/>
      <c r="K88" s="14"/>
      <c r="L88" s="14">
        <f>IF(LEN(M88)=0,"",MATCH($M88,INDEX(params!$B$3:$I$125,MATCH($B88,params!$A$3:$A$125,0),),0)-1)</f>
        <v>0</v>
      </c>
      <c r="M88" s="14" t="s">
        <v>695</v>
      </c>
      <c r="N88" s="16">
        <v>0</v>
      </c>
      <c r="O88" s="16">
        <v>0</v>
      </c>
      <c r="P88" s="14">
        <v>0</v>
      </c>
      <c r="Q88" s="14">
        <v>3</v>
      </c>
      <c r="R88" s="14"/>
    </row>
    <row r="89" spans="1:18" ht="16.5" x14ac:dyDescent="0.3">
      <c r="A89" s="21"/>
      <c r="B89" s="14" t="s">
        <v>696</v>
      </c>
      <c r="C89" s="21"/>
      <c r="D89" s="14" t="s">
        <v>36</v>
      </c>
      <c r="E89" s="14"/>
      <c r="F89" s="14"/>
      <c r="G89" s="14"/>
      <c r="H89" s="14"/>
      <c r="I89" s="14"/>
      <c r="J89" s="14"/>
      <c r="K89" s="14"/>
      <c r="L89" s="14">
        <f>IF(LEN(M89)=0,"",MATCH($M89,INDEX(params!$B$3:$I$125,MATCH($B89,params!$A$3:$A$125,0),),0)-1)</f>
        <v>0</v>
      </c>
      <c r="M89" s="14" t="s">
        <v>696</v>
      </c>
      <c r="N89" s="16">
        <v>0</v>
      </c>
      <c r="O89" s="16">
        <v>0</v>
      </c>
      <c r="P89" s="14">
        <v>0</v>
      </c>
      <c r="Q89" s="14">
        <v>3</v>
      </c>
      <c r="R89" s="14"/>
    </row>
    <row r="90" spans="1:18" ht="16.5" x14ac:dyDescent="0.3">
      <c r="A90" s="21"/>
      <c r="B90" s="14" t="s">
        <v>697</v>
      </c>
      <c r="C90" s="22"/>
      <c r="D90" s="14" t="s">
        <v>38</v>
      </c>
      <c r="E90" s="14"/>
      <c r="F90" s="14"/>
      <c r="G90" s="14"/>
      <c r="H90" s="14"/>
      <c r="I90" s="14"/>
      <c r="J90" s="14"/>
      <c r="K90" s="14"/>
      <c r="L90" s="14">
        <f>IF(LEN(M90)=0,"",MATCH($M90,INDEX(params!$B$3:$I$125,MATCH($B90,params!$A$3:$A$125,0),),0)-1)</f>
        <v>0</v>
      </c>
      <c r="M90" s="14" t="s">
        <v>697</v>
      </c>
      <c r="N90" s="16">
        <v>0</v>
      </c>
      <c r="O90" s="16">
        <v>0</v>
      </c>
      <c r="P90" s="14">
        <v>0</v>
      </c>
      <c r="Q90" s="14">
        <v>3</v>
      </c>
      <c r="R90" s="14"/>
    </row>
  </sheetData>
  <mergeCells count="15">
    <mergeCell ref="S5:S24"/>
    <mergeCell ref="C80:C90"/>
    <mergeCell ref="C73:C79"/>
    <mergeCell ref="C5:C16"/>
    <mergeCell ref="C30:C52"/>
    <mergeCell ref="C53:C59"/>
    <mergeCell ref="C60:C72"/>
    <mergeCell ref="C17:C29"/>
    <mergeCell ref="A5:A16"/>
    <mergeCell ref="A17:A29"/>
    <mergeCell ref="A80:A90"/>
    <mergeCell ref="A73:A79"/>
    <mergeCell ref="A53:A59"/>
    <mergeCell ref="A30:A52"/>
    <mergeCell ref="A60:A72"/>
  </mergeCells>
  <phoneticPr fontId="3" type="noConversion"/>
  <dataValidations count="82">
    <dataValidation type="list" allowBlank="1" sqref="M6">
      <formula1>"VI_D0,INFRARED_FS,SPI_M1_MOSI,I2C6_SDA,I2S0_DIN0,DB_GPIO0,GPIO0_A0,ANALOG_TEST1"</formula1>
    </dataValidation>
    <dataValidation type="list" allowBlank="1" sqref="M7">
      <formula1>"VI_D1,INFRARED_SDO0,SPI_M1_MISO,I2C6_SCL,I2S0_SCLK,DB_GPIO1,GPIO0_A1,ANALOG_TEST2"</formula1>
    </dataValidation>
    <dataValidation type="list" allowBlank="1" sqref="M8">
      <formula1>"VI_D2,INFRARED_SDO1,SPI_M1_CS0,TIME_50HZ,I2S0_DOUT,DB_GPIO2,GPIO0_A2,ANALOG_TEST3"</formula1>
    </dataValidation>
    <dataValidation type="list" allowBlank="1" sqref="M9">
      <formula1>"VI_D3,INFRARED_SDO2,SPI_M1_CS1,CLK_AUX1_1,I2S0_MCLK,DB_GPIO3,GPIO0_A3,ANALOG_TEST4"</formula1>
    </dataValidation>
    <dataValidation type="list" allowBlank="1" sqref="M10">
      <formula1>"VI_D4,INFRARED_CLK_M,SPI_M1_SCLK,I2C5_SDA,I2S0_DIN1,DB_GPIO4,GPIO0_A4,ANALOG_TEST5"</formula1>
    </dataValidation>
    <dataValidation type="list" allowBlank="1" sqref="M11">
      <formula1>"VI_D5,,SPI_S_D3,I2C_S0_SDA,,DB_GPIO5,GPIO0_A5,"</formula1>
    </dataValidation>
    <dataValidation type="list" allowBlank="1" sqref="M12">
      <formula1>"VI_D6,INFRARED_SDI0,SPI_S_D1,I2C_S0_SCL,,DB_GPIO6,GPIO0_A6,"</formula1>
    </dataValidation>
    <dataValidation type="list" allowBlank="1" sqref="M13">
      <formula1>"VI_D7,INFRARED_SDI1,SPI_S_D0,SPI_M1_CS2,,DB_GPIO7,GPIO0_A7,"</formula1>
    </dataValidation>
    <dataValidation type="list" allowBlank="1" sqref="M14">
      <formula1>"VI_D8,INFRARED_SDI2,SPI_S_CS,I2C7_SCL,,DB_GPIO8,GPIO0_A8,"</formula1>
    </dataValidation>
    <dataValidation type="list" allowBlank="1" sqref="M15">
      <formula1>"VI_D9,INFRARED_SDI3,SPI_S_D2,I2C7_SDA,,DB_GPIO9,GPIO0_A9,"</formula1>
    </dataValidation>
    <dataValidation type="list" allowBlank="1" sqref="M16">
      <formula1>"VI_CLK0,SPI_M1_CS3,SPI_S_SCLK,I2C5_SCL,I2S0_LRCK,DB_GPIO10,GPIO0_A10,ANALOG_TEST0"</formula1>
    </dataValidation>
    <dataValidation type="list" allowBlank="1" sqref="M18">
      <formula1>"I2C0_SCL,SPI_M2_CS1,RISC_TCK,PWM00,CLK_AUX0_0,UART2_CTS,GPIO0_A24,ANALOG_TEST12"</formula1>
    </dataValidation>
    <dataValidation type="list" allowBlank="1" sqref="M19">
      <formula1>"I2C0_SDA,SPI_M2_CS2,RISC_TRSTN,PWM01,CLK_AUX0_1,UART2_RTS,GPIO0_A25,ANALOG_TEST13"</formula1>
    </dataValidation>
    <dataValidation type="list" allowBlank="1" sqref="M20">
      <formula1>"I2C1_SCL,SPI_M2_SCLK,,PWM02,CLK_AUX0_2,UART4_CTS,GPIO0_A26,"</formula1>
    </dataValidation>
    <dataValidation type="list" allowBlank="1" sqref="M21">
      <formula1>"I2C1_SDA,SPI_M2_CS0,,PWM03,CLK_AUX1_0,UART4_RTS,GPIO0_A27,"</formula1>
    </dataValidation>
    <dataValidation type="list" allowBlank="1" sqref="M22">
      <formula1>"UART0_TXD,,RISC_TDI,,,DB_GPIO24,GPIO0_A28,ANALOG_TEST6"</formula1>
    </dataValidation>
    <dataValidation type="list" allowBlank="1" sqref="M23">
      <formula1>"UART0_RXD,,RISC_TMS,,,DB_GPIO25,GPIO0_A29,ANALOG_TEST7"</formula1>
    </dataValidation>
    <dataValidation type="list" allowBlank="1" sqref="M24">
      <formula1>"UART1_TXD,SPI_M2_CS3,RISC_TDO,PWM06,SEN_FLASH_D1,DB_GPIO26,GPIO0_A30,ANALOG_TEST8"</formula1>
    </dataValidation>
    <dataValidation type="list" allowBlank="1" sqref="M25">
      <formula1>"UART1_RXD,MCLK7,CLK_AUX3_0,PWM07,SEN_FLASH_D2,,GPIO0_A31,ANALOG_TEST9"</formula1>
    </dataValidation>
    <dataValidation type="list" allowBlank="1" sqref="M26">
      <formula1>"UART2_TXD,,CLK_AUX3_1,TIMESTAMP_LOCK_I1,SEN_FLASH_D3,DB_GPIO27,GPIO1_A0,ANALOG_TEST10"</formula1>
    </dataValidation>
    <dataValidation type="list" allowBlank="1" sqref="M27">
      <formula1>"UART2_RXD,,CLK_AUX3_2,TIMESTAMP_LOCK_O1,SEN_ELEC_PLS,DB_GPIO28,GPIO1_A1,ANALOG_TEST11"</formula1>
    </dataValidation>
    <dataValidation type="list" allowBlank="1" sqref="M28">
      <formula1>"UART3_TXD,SPI_M2_MOSI,CLK_AUX2_1,PWM04,SEN_FLASH_D4,DB_GPIO29,GPIO1_A2,"</formula1>
    </dataValidation>
    <dataValidation type="list" allowBlank="1" sqref="M29">
      <formula1>"UART3_RXD,SPI_M2_MISO,CLK_AUX2_2,PWM05,SEN_FLASH_D0,DB_GPIO30,GPIO1_A3,"</formula1>
    </dataValidation>
    <dataValidation type="list" allowBlank="1" sqref="M31">
      <formula1>"EMAC_PTP_PPS0,DPI_D17,PWM0_M,UART5_CTS,SEN_FLASH_D5,DB_GPIO35,GPIO1_A8,"</formula1>
    </dataValidation>
    <dataValidation type="list" allowBlank="1" sqref="M32">
      <formula1>"EMAC_PTP_PPS1,DPI_D16,PWM1_M,UART5_RTS,SEN_VSYNC_D0,DB_GPIO36,GPIO1_A9,"</formula1>
    </dataValidation>
    <dataValidation type="list" allowBlank="1" sqref="M33">
      <formula1>"EMAC_PTP_PPS2,DPI_D18,SD_CARD_DETECT_N,UART5_TXD,,DB_GPIO37,GPIO1_A10,"</formula1>
    </dataValidation>
    <dataValidation type="list" allowBlank="1" sqref="M34">
      <formula1>"EMAC_PTP_PPS3,DPI_D15,PWM2_M,UART5_RXD,,DB_GPIO38,GPIO1_A11,"</formula1>
    </dataValidation>
    <dataValidation type="list" allowBlank="1" sqref="M35">
      <formula1>"RGMII_MDCK,DPI_D1,PWM5_M,SEN_FLASH_D1_M,,DB_GPIO51,GPIO1_A24,"</formula1>
    </dataValidation>
    <dataValidation type="list" allowBlank="1" sqref="M36">
      <formula1>"RGMII_MDIO,DPI_D2,PWM6_M,SEN_FLASH_D2_M,,DB_GPIO52,GPIO1_A25,"</formula1>
    </dataValidation>
    <dataValidation type="list" allowBlank="1" sqref="M37">
      <formula1>"EPHY_CLK,DPI_PCLK,CLK_AUX1_2,SEN_FLASH_D3_M,,DB_GPIO53,GPIO1_A26,"</formula1>
    </dataValidation>
    <dataValidation type="list" allowBlank="1" sqref="M38">
      <formula1>"EPHY_RSTN,DPI_D0,PWM7_M,SEN_FLASH_D4_M,SPI_M2_CS0_M,DB_GPIO54,GPIO1_A27,"</formula1>
    </dataValidation>
    <dataValidation type="list" allowBlank="1" sqref="M39">
      <formula1>"EPHY_LED0,RGMII_MDCK_M,TE0,SEN_FLASH_D5_M,SPI_M2_CS3_M,DB_GPIO55,GPIO1_A28,"</formula1>
    </dataValidation>
    <dataValidation type="list" allowBlank="1" sqref="M40">
      <formula1>"EPHY_LED1,RGMII_MDIO_M,TE1,SEN_ELEC_PLS_M,SPI_M2_CS2_M,DB_GPIO56,GPIO1_A29,"</formula1>
    </dataValidation>
    <dataValidation type="list" allowBlank="1" sqref="M41">
      <formula1>"RGMII_RXD0,DPI_D5,DEBUG_BUS6,,UART0_CTS,DB_GPIO39,GPIO1_A12,"</formula1>
    </dataValidation>
    <dataValidation type="list" allowBlank="1" sqref="M42">
      <formula1>"RGMII_RXD1,DPI_D6,DEBUG_BUS7,,UART0_RTS,DB_GPIO40,GPIO1_A13,"</formula1>
    </dataValidation>
    <dataValidation type="list" allowBlank="1" sqref="M43">
      <formula1>"RGMII_RXDV,DPI_D4,DEBUG_BUS8,,,DB_GPIO41,GPIO1_A14,"</formula1>
    </dataValidation>
    <dataValidation type="list" allowBlank="1" sqref="M44">
      <formula1>"RGMII_RXCLK,DPI_D3,DEBUG_BUS9,,,DB_GPIO42,GPIO1_A15,"</formula1>
    </dataValidation>
    <dataValidation type="list" allowBlank="1" sqref="M45">
      <formula1>"RGMII_RXD2,DPI_D7,,,,DB_GPIO43,GPIO1_A16,"</formula1>
    </dataValidation>
    <dataValidation type="list" allowBlank="1" sqref="M46">
      <formula1>"RGMII_RXD3,DPI_D8,,,,DB_GPIO44,GPIO1_A17,"</formula1>
    </dataValidation>
    <dataValidation type="list" allowBlank="1" sqref="M47">
      <formula1>"RGMII_TXD0,DPI_D11,DEBUG_BUS2,MCLK1,SPI_M2_MOSI_M,DB_GPIO45,GPIO1_A18,"</formula1>
    </dataValidation>
    <dataValidation type="list" allowBlank="1" sqref="M48">
      <formula1>"RGMII_TXD1,DPI_D12,DEBUG_BUS3,SEN_HSYNC_D0_M,SPI_M2_MISO_M,DB_GPIO46,GPIO1_A19,"</formula1>
    </dataValidation>
    <dataValidation type="list" allowBlank="1" sqref="M49">
      <formula1>"RGMII_TXCLK,DPI_D9,DEBUG_BUS4,SEN_HSYNC_D1_M,SPI_M2_SCLK_M,DB_GPIO47,GPIO1_A20,"</formula1>
    </dataValidation>
    <dataValidation type="list" allowBlank="1" sqref="M50">
      <formula1>"RGMII_TXEN,DPI_D10,DEBUG_BUS5,SEN_VSYNC_D0_M,SPI_M2_CS1_M,DB_GPIO48,GPIO1_A21,ANALOG_TEST14"</formula1>
    </dataValidation>
    <dataValidation type="list" allowBlank="1" sqref="M51">
      <formula1>"RGMII_TXD2,DPI_D13,PWM3_M,SEN_VSYNC_D1_M,,DB_GPIO49,GPIO1_A22,"</formula1>
    </dataValidation>
    <dataValidation type="list" allowBlank="1" sqref="M52">
      <formula1>"RGMII_TXD3,DPI_D14,PWM4_M,SEN_FLASH_D0_M,,DB_GPIO50,GPIO1_A23,"</formula1>
    </dataValidation>
    <dataValidation type="list" allowBlank="1" sqref="M54">
      <formula1>"SD_DAT0,,DEBUG_BUS10,,MCLK2,DB_GPIO63,GPIO2_A4,"</formula1>
    </dataValidation>
    <dataValidation type="list" allowBlank="1" sqref="M55">
      <formula1>"SD_DAT1,,DEBUG_BUS11,,MCLK3,DB_GPIO64,GPIO2_A5,"</formula1>
    </dataValidation>
    <dataValidation type="list" allowBlank="1" sqref="M56">
      <formula1>"SD_CLK,,DEBUG_BUS12,,,DB_GPIO65,GPIO2_A6,"</formula1>
    </dataValidation>
    <dataValidation type="list" allowBlank="1" sqref="M57">
      <formula1>"SD_CMD,I2C_S1_SDA,DEBUG_BUS13,,,DB_GPIO66,GPIO2_A7,"</formula1>
    </dataValidation>
    <dataValidation type="list" allowBlank="1" sqref="M58">
      <formula1>"SD_DAT2,I2C_S1_SCL,DEBUG_BUS14,,MCLK4,DB_GPIO67,GPIO2_A8,"</formula1>
    </dataValidation>
    <dataValidation type="list" allowBlank="1" sqref="M59">
      <formula1>"SD_DAT3,,DEBUG_BUS15,,MCLK5,DB_GPIO68,GPIO2_A9,"</formula1>
    </dataValidation>
    <dataValidation type="list" allowBlank="1" sqref="M61">
      <formula1>"EMMC_DAT5,,,DB_GPIO83,,,GPIO2_A24,"</formula1>
    </dataValidation>
    <dataValidation type="list" allowBlank="1" sqref="M62">
      <formula1>",,,DB_GPIO82,,,GPIO2_A23,"</formula1>
    </dataValidation>
    <dataValidation type="list" allowBlank="1" sqref="M63">
      <formula1>"EMMC_DAT4,SFC_CSN1,,DB_GPIO84,,,GPIO2_A25,"</formula1>
    </dataValidation>
    <dataValidation type="list" allowBlank="1" sqref="M64">
      <formula1>"EMMC_DAT6,,,DB_GPIO80,,,GPIO2_A21,"</formula1>
    </dataValidation>
    <dataValidation type="list" allowBlank="1" sqref="M65">
      <formula1>"EMMC_DS,,,DB_GPIO81,,,GPIO2_A22,"</formula1>
    </dataValidation>
    <dataValidation type="list" allowBlank="1" sqref="M66">
      <formula1>"EMMC_DAT7,,,DB_GPIO79,,,GPIO2_A20,"</formula1>
    </dataValidation>
    <dataValidation type="list" allowBlank="1" sqref="M67">
      <formula1>"EMMC_DAT3,SFC_HOLD_IO3,,DB_GPIO85,,,GPIO2_A26,SPI2AHB_CS"</formula1>
    </dataValidation>
    <dataValidation type="list" allowBlank="1" sqref="M68">
      <formula1>"EMMC_DAT2,SFC_WP_IO2,,DB_GPIO86,,,GPIO2_A27,SPI2AHB_DATA0"</formula1>
    </dataValidation>
    <dataValidation type="list" allowBlank="1" sqref="M69">
      <formula1>"EMMC_CLK,SFC_CLK,,DB_GPIO87,,,GPIO2_A28,SPI2AHB_DATA1"</formula1>
    </dataValidation>
    <dataValidation type="list" allowBlank="1" sqref="M70">
      <formula1>"EMMC_DAT0,SFC_MOSI_IO0,,DB_GPIO15,,,GPIO0_A20,SPI2AHB_DATA2"</formula1>
    </dataValidation>
    <dataValidation type="list" allowBlank="1" sqref="M71">
      <formula1>"EMMC_CMD,SFC_CSN0,,DB_GPIO88,,,GPIO2_A29,SPI2AHB_DATA3"</formula1>
    </dataValidation>
    <dataValidation type="list" allowBlank="1" sqref="M72">
      <formula1>"EMMC_DAT1,SFC_MISO_IO1,,DB_GPIO89,,,GPIO0_A19,SPI2AHB_CLK"</formula1>
    </dataValidation>
    <dataValidation type="list" allowBlank="1" sqref="M74">
      <formula1>"SDIO_DAT0,I2C3_SCL,,I2S1_DOUT,PWM08,DB_GPIO57,GPIO1_A30,"</formula1>
    </dataValidation>
    <dataValidation type="list" allowBlank="1" sqref="M75">
      <formula1>"SDIO_DAT1,I2C3_SDA,,I2S1_SCLK,PWM09,DB_GPIO58,GPIO1_A31,"</formula1>
    </dataValidation>
    <dataValidation type="list" allowBlank="1" sqref="M76">
      <formula1>"SDIO_CLK,EPHY_CLK_M,I2C2_SCL,I2S1_MCLK,CLK_AUX2_0,DB_GPIO59,GPIO2_A0,"</formula1>
    </dataValidation>
    <dataValidation type="list" allowBlank="1" sqref="M77">
      <formula1>"SDIO_CMD,I2C2_SDA,,I2S1_LRCK,,DB_GPIO60,GPIO2_A1,"</formula1>
    </dataValidation>
    <dataValidation type="list" allowBlank="1" sqref="M78">
      <formula1>"SDIO_DAT2,I2C4_SCL,,I2S1_DIN1,,DB_GPIO61,GPIO2_A2,"</formula1>
    </dataValidation>
    <dataValidation type="list" allowBlank="1" sqref="M79">
      <formula1>"SDIO_DAT3,I2C4_SDA,,I2S1_DIN0,,DB_GPIO62,GPIO2_A3,"</formula1>
    </dataValidation>
    <dataValidation type="list" allowBlank="1" sqref="M90">
      <formula1>"CDTX_L4P,,,DB_GPIO78,,,GPIO2_A19,"</formula1>
    </dataValidation>
    <dataValidation type="list" allowBlank="1" sqref="M89">
      <formula1>"CDTX_L4N,BT656_D7,,DB_GPIO77,,,GPIO2_A18,"</formula1>
    </dataValidation>
    <dataValidation type="list" allowBlank="1" sqref="M88">
      <formula1>"CDTX_L3P,BT656_D6,,DB_GPIO76,,GPIO2_A17,,"</formula1>
    </dataValidation>
    <dataValidation type="list" allowBlank="1" sqref="M87">
      <formula1>"CDTX_L3N,BT656_D5,SPI_M0_CS3,DB_GPIO75,,,GPIO2_A16,"</formula1>
    </dataValidation>
    <dataValidation type="list" allowBlank="1" sqref="M86">
      <formula1>"CDTX_L2P,BT656_D4,SPI_M0_MOSI,DB_GPIO74,,,GPIO2_A15,"</formula1>
    </dataValidation>
    <dataValidation type="list" allowBlank="1" sqref="M85">
      <formula1>"CDTX_L2N,BT656_D3,SPI_M0_CS2,DB_GPIO73,,,GPIO2_A14,"</formula1>
    </dataValidation>
    <dataValidation type="list" allowBlank="1" sqref="M84">
      <formula1>"CDTX_L1P,BT656_D2,SPI_M0_CS1,DB_GPIO72,,,GPIO2_A13,"</formula1>
    </dataValidation>
    <dataValidation type="list" allowBlank="1" sqref="M83">
      <formula1>"CDTX_L1N,BT656_D1,SPI_M0_CS0,DB_GPIO71,,,GPIO2_A12,"</formula1>
    </dataValidation>
    <dataValidation type="list" allowBlank="1" sqref="M82">
      <formula1>"CDTX_L0P,BT656_D0,SPI_M0_MISO,DB_GPIO70,,,GPIO2_A11,"</formula1>
    </dataValidation>
    <dataValidation type="list" allowBlank="1" sqref="M81">
      <formula1>"CDTX_L0N,BT656_CLK,SPI_M0_SCLK,DB_GPIO69,,,GPIO2_A10,"</formula1>
    </dataValidation>
    <dataValidation type="list" allowBlank="1" sqref="P81:P90 P61:P72 P74:P79 N31:P52 P54:P59 E54:K59 E61:K72 N6:P16 E6:K16 E18:K29 N18:P29 E31:K52 E74:K79 E81:K90">
      <formula1>"0,1"</formula1>
    </dataValidation>
    <dataValidation type="list" allowBlank="1" sqref="Q5:Q90">
      <formula1>"0,1,2,3,4,5,6,7,8,9,10,11,12,13,14,15"</formula1>
    </dataValidation>
    <dataValidation type="list" allowBlank="1" showInputMessage="1" showErrorMessage="1" sqref="N54:O59 N61:O72 N74:O79 N81:O90">
      <formula1>"0, 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Pict="0" macro="[0]!DoExport">
                <anchor moveWithCells="1" sizeWithCells="1">
                  <from>
                    <xdr:col>0</xdr:col>
                    <xdr:colOff>0</xdr:colOff>
                    <xdr:row>2</xdr:row>
                    <xdr:rowOff>9525</xdr:rowOff>
                  </from>
                  <to>
                    <xdr:col>1</xdr:col>
                    <xdr:colOff>1123950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4"/>
  <sheetViews>
    <sheetView zoomScaleNormal="100" workbookViewId="0">
      <selection activeCell="B20" sqref="A20:XFD20"/>
    </sheetView>
  </sheetViews>
  <sheetFormatPr defaultRowHeight="14.25" x14ac:dyDescent="0.2"/>
  <cols>
    <col min="1" max="1" width="8.75" style="13" bestFit="1" customWidth="1"/>
    <col min="2" max="2" width="10.125" style="13" bestFit="1" customWidth="1"/>
    <col min="3" max="3" width="12.5" style="13" bestFit="1" customWidth="1"/>
    <col min="4" max="4" width="6" style="13" bestFit="1" customWidth="1"/>
    <col min="5" max="5" width="11.75" style="13" bestFit="1" customWidth="1"/>
    <col min="6" max="6" width="11.875" style="13" bestFit="1" customWidth="1"/>
    <col min="7" max="8" width="11" style="13" bestFit="1" customWidth="1"/>
    <col min="9" max="9" width="11.75" style="13" bestFit="1" customWidth="1"/>
    <col min="10" max="10" width="12.5" style="13" bestFit="1" customWidth="1"/>
    <col min="11" max="11" width="11.625" style="13" bestFit="1" customWidth="1"/>
    <col min="12" max="12" width="13.5" style="13" bestFit="1" customWidth="1"/>
    <col min="13" max="13" width="14.125" style="13" customWidth="1"/>
    <col min="14" max="14" width="5.625" style="13" bestFit="1" customWidth="1"/>
    <col min="15" max="15" width="5.75" style="13" bestFit="1" customWidth="1"/>
    <col min="16" max="16" width="4.875" style="13" bestFit="1" customWidth="1"/>
    <col min="17" max="17" width="6.75" style="13" bestFit="1" customWidth="1"/>
    <col min="18" max="18" width="27.125" style="13" customWidth="1"/>
    <col min="19" max="16384" width="9" style="13"/>
  </cols>
  <sheetData>
    <row r="1" spans="1:19" customFormat="1" x14ac:dyDescent="0.2">
      <c r="A1" s="5" t="s">
        <v>0</v>
      </c>
      <c r="B1" s="5" t="s">
        <v>1</v>
      </c>
      <c r="C1" s="6" t="s">
        <v>2</v>
      </c>
      <c r="D1" s="6" t="s">
        <v>3</v>
      </c>
      <c r="E1" s="19" t="s">
        <v>771</v>
      </c>
      <c r="F1" s="19" t="s">
        <v>772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8" t="s">
        <v>11</v>
      </c>
      <c r="M1" s="8" t="s">
        <v>12</v>
      </c>
      <c r="N1" s="8" t="s">
        <v>762</v>
      </c>
      <c r="O1" s="8" t="s">
        <v>763</v>
      </c>
      <c r="P1" s="8" t="s">
        <v>15</v>
      </c>
      <c r="Q1" s="8" t="s">
        <v>16</v>
      </c>
      <c r="R1" s="4" t="s">
        <v>17</v>
      </c>
    </row>
    <row r="2" spans="1:19" customFormat="1" x14ac:dyDescent="0.2">
      <c r="A2" s="23" t="s">
        <v>41</v>
      </c>
      <c r="B2" s="10" t="s">
        <v>774</v>
      </c>
      <c r="C2" s="24" t="s">
        <v>705</v>
      </c>
      <c r="D2" s="10" t="s">
        <v>775</v>
      </c>
      <c r="E2" s="35"/>
      <c r="F2" s="35"/>
      <c r="G2" s="35"/>
      <c r="H2" s="35"/>
      <c r="I2" s="35"/>
      <c r="J2" s="35"/>
      <c r="K2" s="35"/>
      <c r="L2" s="36"/>
      <c r="M2" s="9"/>
      <c r="N2" s="9"/>
      <c r="O2" s="9"/>
      <c r="P2" s="9"/>
      <c r="Q2" s="9">
        <v>1</v>
      </c>
      <c r="R2" s="9"/>
      <c r="S2" s="13"/>
    </row>
    <row r="3" spans="1:19" x14ac:dyDescent="0.2">
      <c r="A3" s="21"/>
      <c r="B3" s="14" t="s">
        <v>42</v>
      </c>
      <c r="C3" s="25"/>
      <c r="D3" s="14" t="s">
        <v>20</v>
      </c>
      <c r="E3" s="14"/>
      <c r="F3" s="14"/>
      <c r="G3" s="14"/>
      <c r="H3" s="14"/>
      <c r="I3" s="14"/>
      <c r="J3" s="14"/>
      <c r="K3" s="14"/>
      <c r="L3" s="14">
        <f>IF(LEN(M3)=0,"",MATCH($M3,INDEX(params!$B$3:$I$125,MATCH($B3,params!$A$3:$A$125,0),),0)-1)</f>
        <v>5</v>
      </c>
      <c r="M3" s="14" t="s">
        <v>249</v>
      </c>
      <c r="N3" s="14">
        <v>0</v>
      </c>
      <c r="O3" s="14">
        <v>1</v>
      </c>
      <c r="P3" s="14">
        <v>1</v>
      </c>
      <c r="Q3" s="14">
        <v>3</v>
      </c>
      <c r="R3" s="14"/>
    </row>
    <row r="4" spans="1:19" x14ac:dyDescent="0.2">
      <c r="A4" s="21"/>
      <c r="B4" s="14" t="s">
        <v>43</v>
      </c>
      <c r="C4" s="21"/>
      <c r="D4" s="14" t="s">
        <v>22</v>
      </c>
      <c r="E4" s="14"/>
      <c r="F4" s="14"/>
      <c r="G4" s="14"/>
      <c r="H4" s="14"/>
      <c r="I4" s="14"/>
      <c r="J4" s="14"/>
      <c r="K4" s="14"/>
      <c r="L4" s="14">
        <f>IF(LEN(M4)=0,"",MATCH($M4,INDEX(params!$B$3:$I$125,MATCH($B4,params!$A$3:$A$125,0),),0)-1)</f>
        <v>0</v>
      </c>
      <c r="M4" s="14" t="s">
        <v>43</v>
      </c>
      <c r="N4" s="14">
        <v>0</v>
      </c>
      <c r="O4" s="14">
        <v>0</v>
      </c>
      <c r="P4" s="14">
        <v>0</v>
      </c>
      <c r="Q4" s="14">
        <v>3</v>
      </c>
      <c r="R4" s="14"/>
    </row>
    <row r="5" spans="1:19" x14ac:dyDescent="0.2">
      <c r="A5" s="21"/>
      <c r="B5" s="14" t="s">
        <v>44</v>
      </c>
      <c r="C5" s="21"/>
      <c r="D5" s="14" t="s">
        <v>24</v>
      </c>
      <c r="E5" s="14"/>
      <c r="F5" s="14"/>
      <c r="G5" s="14"/>
      <c r="H5" s="14"/>
      <c r="I5" s="14"/>
      <c r="J5" s="14"/>
      <c r="K5" s="14"/>
      <c r="L5" s="14">
        <f>IF(LEN(M5)=0,"",MATCH($M5,INDEX(params!$B$3:$I$125,MATCH($B5,params!$A$3:$A$125,0),),0)-1)</f>
        <v>2</v>
      </c>
      <c r="M5" s="14" t="s">
        <v>257</v>
      </c>
      <c r="N5" s="14">
        <v>0</v>
      </c>
      <c r="O5" s="14">
        <v>0</v>
      </c>
      <c r="P5" s="14">
        <v>0</v>
      </c>
      <c r="Q5" s="14">
        <v>3</v>
      </c>
      <c r="R5" s="14"/>
    </row>
    <row r="6" spans="1:19" x14ac:dyDescent="0.2">
      <c r="A6" s="22"/>
      <c r="B6" s="14" t="s">
        <v>45</v>
      </c>
      <c r="C6" s="22"/>
      <c r="D6" s="14" t="s">
        <v>26</v>
      </c>
      <c r="E6" s="14"/>
      <c r="F6" s="14"/>
      <c r="G6" s="14"/>
      <c r="H6" s="14"/>
      <c r="I6" s="14"/>
      <c r="J6" s="14"/>
      <c r="K6" s="14"/>
      <c r="L6" s="14">
        <f>IF(LEN(M6)=0,"",MATCH($M6,INDEX(params!$B$3:$I$125,MATCH($B6,params!$A$3:$A$125,0),),0)-1)</f>
        <v>0</v>
      </c>
      <c r="M6" s="14" t="s">
        <v>45</v>
      </c>
      <c r="N6" s="14">
        <v>0</v>
      </c>
      <c r="O6" s="14">
        <v>0</v>
      </c>
      <c r="P6" s="14">
        <v>0</v>
      </c>
      <c r="Q6" s="14">
        <v>3</v>
      </c>
      <c r="R6" s="14"/>
    </row>
    <row r="7" spans="1:19" customFormat="1" x14ac:dyDescent="0.2">
      <c r="A7" s="23" t="s">
        <v>46</v>
      </c>
      <c r="B7" s="10" t="s">
        <v>774</v>
      </c>
      <c r="C7" s="24" t="s">
        <v>704</v>
      </c>
      <c r="D7" s="10" t="s">
        <v>775</v>
      </c>
      <c r="E7" s="35"/>
      <c r="F7" s="35"/>
      <c r="G7" s="35"/>
      <c r="H7" s="35"/>
      <c r="I7" s="35"/>
      <c r="J7" s="35"/>
      <c r="K7" s="35"/>
      <c r="L7" s="36"/>
      <c r="M7" s="9"/>
      <c r="N7" s="9"/>
      <c r="O7" s="9"/>
      <c r="P7" s="9"/>
      <c r="Q7" s="9">
        <v>1</v>
      </c>
      <c r="R7" s="9"/>
      <c r="S7" s="13"/>
    </row>
    <row r="8" spans="1:19" x14ac:dyDescent="0.2">
      <c r="A8" s="21"/>
      <c r="B8" s="14" t="s">
        <v>47</v>
      </c>
      <c r="C8" s="25"/>
      <c r="D8" s="14" t="s">
        <v>20</v>
      </c>
      <c r="E8" s="14"/>
      <c r="F8" s="14"/>
      <c r="G8" s="14"/>
      <c r="H8" s="14"/>
      <c r="I8" s="14"/>
      <c r="J8" s="14"/>
      <c r="K8" s="14"/>
      <c r="L8" s="14">
        <f>IF(LEN(M8)=0,"",MATCH($M8,INDEX(params!$B$3:$I$125,MATCH($B8,params!$A$3:$A$125,0),),0)-1)</f>
        <v>0</v>
      </c>
      <c r="M8" s="14" t="s">
        <v>47</v>
      </c>
      <c r="N8" s="14">
        <v>0</v>
      </c>
      <c r="O8" s="14">
        <v>0</v>
      </c>
      <c r="P8" s="14">
        <v>0</v>
      </c>
      <c r="Q8" s="14">
        <v>3</v>
      </c>
      <c r="R8" s="14"/>
    </row>
    <row r="9" spans="1:19" x14ac:dyDescent="0.2">
      <c r="A9" s="21"/>
      <c r="B9" s="14" t="s">
        <v>48</v>
      </c>
      <c r="C9" s="21"/>
      <c r="D9" s="14" t="s">
        <v>22</v>
      </c>
      <c r="E9" s="14"/>
      <c r="F9" s="14"/>
      <c r="G9" s="14"/>
      <c r="H9" s="14"/>
      <c r="I9" s="14"/>
      <c r="J9" s="14"/>
      <c r="K9" s="14"/>
      <c r="L9" s="14">
        <f>IF(LEN(M9)=0,"",MATCH($M9,INDEX(params!$B$3:$I$125,MATCH($B9,params!$A$3:$A$125,0),),0)-1)</f>
        <v>0</v>
      </c>
      <c r="M9" s="14" t="s">
        <v>48</v>
      </c>
      <c r="N9" s="14">
        <v>1</v>
      </c>
      <c r="O9" s="14">
        <v>1</v>
      </c>
      <c r="P9" s="14">
        <v>0</v>
      </c>
      <c r="Q9" s="14">
        <v>3</v>
      </c>
      <c r="R9" s="15" t="s">
        <v>712</v>
      </c>
    </row>
    <row r="10" spans="1:19" x14ac:dyDescent="0.2">
      <c r="A10" s="21"/>
      <c r="B10" s="14" t="s">
        <v>49</v>
      </c>
      <c r="C10" s="21"/>
      <c r="D10" s="14" t="s">
        <v>24</v>
      </c>
      <c r="E10" s="14"/>
      <c r="F10" s="14"/>
      <c r="G10" s="14"/>
      <c r="H10" s="14"/>
      <c r="I10" s="14"/>
      <c r="J10" s="14"/>
      <c r="K10" s="14"/>
      <c r="L10" s="14">
        <f>IF(LEN(M10)=0,"",MATCH($M10,INDEX(params!$B$3:$I$125,MATCH($B10,params!$A$3:$A$125,0),),0)-1)</f>
        <v>1</v>
      </c>
      <c r="M10" s="14" t="s">
        <v>272</v>
      </c>
      <c r="N10" s="14">
        <v>0</v>
      </c>
      <c r="O10" s="14">
        <v>0</v>
      </c>
      <c r="P10" s="14">
        <v>0</v>
      </c>
      <c r="Q10" s="14">
        <v>3</v>
      </c>
      <c r="R10" s="15" t="s">
        <v>764</v>
      </c>
    </row>
    <row r="11" spans="1:19" x14ac:dyDescent="0.2">
      <c r="A11" s="21"/>
      <c r="B11" s="14" t="s">
        <v>50</v>
      </c>
      <c r="C11" s="21"/>
      <c r="D11" s="14" t="s">
        <v>26</v>
      </c>
      <c r="E11" s="14"/>
      <c r="F11" s="14"/>
      <c r="G11" s="14"/>
      <c r="H11" s="14"/>
      <c r="I11" s="14"/>
      <c r="J11" s="14"/>
      <c r="K11" s="14"/>
      <c r="L11" s="14">
        <f>IF(LEN(M11)=0,"",MATCH($M11,INDEX(params!$B$3:$I$125,MATCH($B11,params!$A$3:$A$125,0),),0)-1)</f>
        <v>0</v>
      </c>
      <c r="M11" s="14" t="s">
        <v>50</v>
      </c>
      <c r="N11" s="14">
        <v>0</v>
      </c>
      <c r="O11" s="14">
        <v>0</v>
      </c>
      <c r="P11" s="14">
        <v>1</v>
      </c>
      <c r="Q11" s="14">
        <v>3</v>
      </c>
      <c r="R11" s="15" t="s">
        <v>764</v>
      </c>
    </row>
    <row r="12" spans="1:19" x14ac:dyDescent="0.2">
      <c r="A12" s="21"/>
      <c r="B12" s="14" t="s">
        <v>51</v>
      </c>
      <c r="C12" s="21"/>
      <c r="D12" s="14" t="s">
        <v>30</v>
      </c>
      <c r="E12" s="14"/>
      <c r="F12" s="14"/>
      <c r="G12" s="14"/>
      <c r="H12" s="14"/>
      <c r="I12" s="14"/>
      <c r="J12" s="14"/>
      <c r="K12" s="14"/>
      <c r="L12" s="14">
        <f>IF(LEN(M12)=0,"",MATCH($M12,INDEX(params!$B$3:$I$125,MATCH($B12,params!$A$3:$A$125,0),),0)-1)</f>
        <v>0</v>
      </c>
      <c r="M12" s="14" t="s">
        <v>51</v>
      </c>
      <c r="N12" s="14">
        <v>0</v>
      </c>
      <c r="O12" s="14">
        <v>0</v>
      </c>
      <c r="P12" s="14">
        <v>1</v>
      </c>
      <c r="Q12" s="14">
        <v>3</v>
      </c>
      <c r="R12" s="15" t="s">
        <v>764</v>
      </c>
    </row>
    <row r="13" spans="1:19" x14ac:dyDescent="0.2">
      <c r="A13" s="21"/>
      <c r="B13" s="14" t="s">
        <v>52</v>
      </c>
      <c r="C13" s="21"/>
      <c r="D13" s="14" t="s">
        <v>32</v>
      </c>
      <c r="E13" s="14"/>
      <c r="F13" s="14"/>
      <c r="G13" s="14"/>
      <c r="H13" s="14"/>
      <c r="I13" s="14"/>
      <c r="J13" s="14"/>
      <c r="K13" s="14"/>
      <c r="L13" s="14">
        <f>IF(LEN(M13)=0,"",MATCH($M13,INDEX(params!$B$3:$I$125,MATCH($B13,params!$A$3:$A$125,0),),0)-1)</f>
        <v>0</v>
      </c>
      <c r="M13" s="14" t="s">
        <v>52</v>
      </c>
      <c r="N13" s="14">
        <v>0</v>
      </c>
      <c r="O13" s="14">
        <v>0</v>
      </c>
      <c r="P13" s="14">
        <v>1</v>
      </c>
      <c r="Q13" s="14">
        <v>3</v>
      </c>
      <c r="R13" s="15" t="s">
        <v>764</v>
      </c>
    </row>
    <row r="14" spans="1:19" x14ac:dyDescent="0.2">
      <c r="A14" s="21"/>
      <c r="B14" s="14" t="s">
        <v>53</v>
      </c>
      <c r="C14" s="21"/>
      <c r="D14" s="14" t="s">
        <v>34</v>
      </c>
      <c r="E14" s="14"/>
      <c r="F14" s="14"/>
      <c r="G14" s="14"/>
      <c r="H14" s="14"/>
      <c r="I14" s="14"/>
      <c r="J14" s="14"/>
      <c r="K14" s="14"/>
      <c r="L14" s="14">
        <f>IF(LEN(M14)=0,"",MATCH($M14,INDEX(params!$B$3:$I$125,MATCH($B14,params!$A$3:$A$125,0),),0)-1)</f>
        <v>0</v>
      </c>
      <c r="M14" s="14" t="s">
        <v>53</v>
      </c>
      <c r="N14" s="14">
        <v>1</v>
      </c>
      <c r="O14" s="14">
        <v>0</v>
      </c>
      <c r="P14" s="14">
        <v>0</v>
      </c>
      <c r="Q14" s="14">
        <v>3</v>
      </c>
      <c r="R14" s="14" t="s">
        <v>767</v>
      </c>
    </row>
    <row r="15" spans="1:19" x14ac:dyDescent="0.2">
      <c r="A15" s="21"/>
      <c r="B15" s="14" t="s">
        <v>54</v>
      </c>
      <c r="C15" s="21"/>
      <c r="D15" s="14" t="s">
        <v>36</v>
      </c>
      <c r="E15" s="14"/>
      <c r="F15" s="14"/>
      <c r="G15" s="14"/>
      <c r="H15" s="14"/>
      <c r="I15" s="14"/>
      <c r="J15" s="14"/>
      <c r="K15" s="14"/>
      <c r="L15" s="14">
        <f>IF(LEN(M15)=0,"",MATCH($M15,INDEX(params!$B$3:$I$125,MATCH($B15,params!$A$3:$A$125,0),),0)-1)</f>
        <v>1</v>
      </c>
      <c r="M15" s="14" t="s">
        <v>289</v>
      </c>
      <c r="N15" s="14">
        <v>0</v>
      </c>
      <c r="O15" s="14">
        <v>0</v>
      </c>
      <c r="P15" s="14">
        <v>0</v>
      </c>
      <c r="Q15" s="14">
        <v>3</v>
      </c>
      <c r="R15" s="14"/>
    </row>
    <row r="16" spans="1:19" x14ac:dyDescent="0.2">
      <c r="A16" s="21"/>
      <c r="B16" s="14" t="s">
        <v>55</v>
      </c>
      <c r="C16" s="21"/>
      <c r="D16" s="14" t="s">
        <v>38</v>
      </c>
      <c r="E16" s="14"/>
      <c r="F16" s="14"/>
      <c r="G16" s="14"/>
      <c r="H16" s="14"/>
      <c r="I16" s="14"/>
      <c r="J16" s="14"/>
      <c r="K16" s="14"/>
      <c r="L16" s="14">
        <f>IF(LEN(M16)=0,"",MATCH($M16,INDEX(params!$B$3:$I$125,MATCH($B16,params!$A$3:$A$125,0),),0)-1)</f>
        <v>0</v>
      </c>
      <c r="M16" s="14" t="s">
        <v>55</v>
      </c>
      <c r="N16" s="14">
        <v>0</v>
      </c>
      <c r="O16" s="14">
        <v>1</v>
      </c>
      <c r="P16" s="14">
        <v>0</v>
      </c>
      <c r="Q16" s="14">
        <v>3</v>
      </c>
      <c r="R16" s="14"/>
    </row>
    <row r="17" spans="1:19" x14ac:dyDescent="0.2">
      <c r="A17" s="21"/>
      <c r="B17" s="14" t="s">
        <v>56</v>
      </c>
      <c r="C17" s="21"/>
      <c r="D17" s="14" t="s">
        <v>57</v>
      </c>
      <c r="E17" s="14"/>
      <c r="F17" s="14"/>
      <c r="G17" s="14"/>
      <c r="H17" s="14"/>
      <c r="I17" s="14"/>
      <c r="J17" s="14"/>
      <c r="K17" s="14"/>
      <c r="L17" s="14">
        <f>IF(LEN(M17)=0,"",MATCH($M17,INDEX(params!$B$3:$I$125,MATCH($B17,params!$A$3:$A$125,0),),0)-1)</f>
        <v>0</v>
      </c>
      <c r="M17" s="14" t="s">
        <v>56</v>
      </c>
      <c r="N17" s="14">
        <v>1</v>
      </c>
      <c r="O17" s="14">
        <v>1</v>
      </c>
      <c r="P17" s="14">
        <v>0</v>
      </c>
      <c r="Q17" s="14">
        <v>3</v>
      </c>
      <c r="R17" s="14"/>
    </row>
    <row r="18" spans="1:19" x14ac:dyDescent="0.2">
      <c r="A18" s="21"/>
      <c r="B18" s="14" t="s">
        <v>58</v>
      </c>
      <c r="C18" s="21"/>
      <c r="D18" s="14" t="s">
        <v>59</v>
      </c>
      <c r="E18" s="14"/>
      <c r="F18" s="14"/>
      <c r="G18" s="14"/>
      <c r="H18" s="14"/>
      <c r="I18" s="14"/>
      <c r="J18" s="14"/>
      <c r="K18" s="14"/>
      <c r="L18" s="14">
        <f>IF(LEN(M18)=0,"",MATCH($M18,INDEX(params!$B$3:$I$125,MATCH($B18,params!$A$3:$A$125,0),),0)-1)</f>
        <v>0</v>
      </c>
      <c r="M18" s="14" t="s">
        <v>58</v>
      </c>
      <c r="N18" s="14">
        <v>0</v>
      </c>
      <c r="O18" s="14">
        <v>1</v>
      </c>
      <c r="P18" s="14">
        <v>0</v>
      </c>
      <c r="Q18" s="14">
        <v>3</v>
      </c>
      <c r="R18" s="14"/>
    </row>
    <row r="19" spans="1:19" x14ac:dyDescent="0.2">
      <c r="A19" s="22"/>
      <c r="B19" s="14" t="s">
        <v>60</v>
      </c>
      <c r="C19" s="22"/>
      <c r="D19" s="14" t="s">
        <v>61</v>
      </c>
      <c r="E19" s="14"/>
      <c r="F19" s="14"/>
      <c r="G19" s="14"/>
      <c r="H19" s="14"/>
      <c r="I19" s="14"/>
      <c r="J19" s="14"/>
      <c r="K19" s="14"/>
      <c r="L19" s="14">
        <f>IF(LEN(M19)=0,"",MATCH($M19,INDEX(params!$B$3:$I$125,MATCH($B19,params!$A$3:$A$125,0),),0)-1)</f>
        <v>0</v>
      </c>
      <c r="M19" s="14" t="s">
        <v>60</v>
      </c>
      <c r="N19" s="14">
        <v>0</v>
      </c>
      <c r="O19" s="14">
        <v>1</v>
      </c>
      <c r="P19" s="14">
        <v>0</v>
      </c>
      <c r="Q19" s="14">
        <v>3</v>
      </c>
      <c r="R19" s="14"/>
    </row>
    <row r="20" spans="1:19" customFormat="1" x14ac:dyDescent="0.2">
      <c r="A20" s="23" t="s">
        <v>75</v>
      </c>
      <c r="B20" s="10" t="s">
        <v>774</v>
      </c>
      <c r="C20" s="24" t="s">
        <v>702</v>
      </c>
      <c r="D20" s="10" t="s">
        <v>775</v>
      </c>
      <c r="E20" s="35"/>
      <c r="F20" s="35"/>
      <c r="G20" s="35"/>
      <c r="H20" s="35"/>
      <c r="I20" s="35"/>
      <c r="J20" s="35"/>
      <c r="K20" s="35"/>
      <c r="L20" s="36"/>
      <c r="M20" s="9"/>
      <c r="N20" s="9"/>
      <c r="O20" s="9"/>
      <c r="P20" s="9"/>
      <c r="Q20" s="9">
        <v>1</v>
      </c>
      <c r="R20" s="9"/>
      <c r="S20" s="13"/>
    </row>
    <row r="21" spans="1:19" x14ac:dyDescent="0.2">
      <c r="A21" s="21"/>
      <c r="B21" s="14" t="s">
        <v>76</v>
      </c>
      <c r="C21" s="25"/>
      <c r="D21" s="14" t="s">
        <v>20</v>
      </c>
      <c r="E21" s="14"/>
      <c r="F21" s="14"/>
      <c r="G21" s="14"/>
      <c r="H21" s="14"/>
      <c r="I21" s="14"/>
      <c r="J21" s="14"/>
      <c r="K21" s="14"/>
      <c r="L21" s="14">
        <f>IF(LEN(M21)=0,"",MATCH($M21,INDEX(params!$B$3:$I$125,MATCH($B21,params!$A$3:$A$125,0),),0)-1)</f>
        <v>0</v>
      </c>
      <c r="M21" s="14" t="s">
        <v>714</v>
      </c>
      <c r="N21" s="14"/>
      <c r="O21" s="14"/>
      <c r="P21" s="14">
        <v>0</v>
      </c>
      <c r="Q21" s="14"/>
      <c r="R21" s="14"/>
    </row>
    <row r="22" spans="1:19" x14ac:dyDescent="0.2">
      <c r="A22" s="21"/>
      <c r="B22" s="14" t="s">
        <v>77</v>
      </c>
      <c r="C22" s="21"/>
      <c r="D22" s="14" t="s">
        <v>22</v>
      </c>
      <c r="E22" s="14"/>
      <c r="F22" s="14"/>
      <c r="G22" s="14"/>
      <c r="H22" s="14"/>
      <c r="I22" s="14"/>
      <c r="J22" s="14"/>
      <c r="K22" s="14"/>
      <c r="L22" s="14">
        <f>IF(LEN(M22)=0,"",MATCH($M22,INDEX(params!$B$3:$I$125,MATCH($B22,params!$A$3:$A$125,0),),0)-1)</f>
        <v>0</v>
      </c>
      <c r="M22" s="14" t="s">
        <v>714</v>
      </c>
      <c r="N22" s="14"/>
      <c r="O22" s="14"/>
      <c r="P22" s="14">
        <v>0</v>
      </c>
      <c r="Q22" s="14"/>
      <c r="R22" s="14"/>
    </row>
    <row r="23" spans="1:19" x14ac:dyDescent="0.2">
      <c r="A23" s="21"/>
      <c r="B23" s="14" t="s">
        <v>78</v>
      </c>
      <c r="C23" s="21"/>
      <c r="D23" s="14" t="s">
        <v>24</v>
      </c>
      <c r="E23" s="14"/>
      <c r="F23" s="14"/>
      <c r="G23" s="14"/>
      <c r="H23" s="14"/>
      <c r="I23" s="14"/>
      <c r="J23" s="14"/>
      <c r="K23" s="14"/>
      <c r="L23" s="14">
        <f>IF(LEN(M23)=0,"",MATCH($M23,INDEX(params!$B$3:$I$125,MATCH($B23,params!$A$3:$A$125,0),),0)-1)</f>
        <v>0</v>
      </c>
      <c r="M23" s="14" t="s">
        <v>714</v>
      </c>
      <c r="N23" s="14"/>
      <c r="O23" s="14"/>
      <c r="P23" s="14">
        <v>0</v>
      </c>
      <c r="Q23" s="14"/>
      <c r="R23" s="14"/>
    </row>
    <row r="24" spans="1:19" x14ac:dyDescent="0.2">
      <c r="A24" s="22"/>
      <c r="B24" s="14" t="s">
        <v>79</v>
      </c>
      <c r="C24" s="22"/>
      <c r="D24" s="14" t="s">
        <v>26</v>
      </c>
      <c r="E24" s="14"/>
      <c r="F24" s="14"/>
      <c r="G24" s="14"/>
      <c r="H24" s="14"/>
      <c r="I24" s="14"/>
      <c r="J24" s="14"/>
      <c r="K24" s="14"/>
      <c r="L24" s="14">
        <f>IF(LEN(M24)=0,"",MATCH($M24,INDEX(params!$B$3:$I$125,MATCH($B24,params!$A$3:$A$125,0),),0)-1)</f>
        <v>0</v>
      </c>
      <c r="M24" s="14" t="s">
        <v>714</v>
      </c>
      <c r="N24" s="14"/>
      <c r="O24" s="14"/>
      <c r="P24" s="14">
        <v>0</v>
      </c>
      <c r="Q24" s="14"/>
      <c r="R24" s="14"/>
    </row>
  </sheetData>
  <mergeCells count="6">
    <mergeCell ref="C2:C6"/>
    <mergeCell ref="A2:A6"/>
    <mergeCell ref="C7:C19"/>
    <mergeCell ref="A7:A19"/>
    <mergeCell ref="C20:C24"/>
    <mergeCell ref="A20:A24"/>
  </mergeCells>
  <phoneticPr fontId="3" type="noConversion"/>
  <dataValidations count="22">
    <dataValidation type="list" allowBlank="1" sqref="Q2:Q24">
      <formula1>"0,1,2,3,4,5,6,7,8,9,10,11,12,13,14,15"</formula1>
    </dataValidation>
    <dataValidation type="list" allowBlank="1" sqref="N21:P24 E3:K6 N3:P6 N8:P19 E8:K19 E21:K24">
      <formula1>"0,1"</formula1>
    </dataValidation>
    <dataValidation type="list" allowBlank="1" sqref="M6">
      <formula1>"THM_AIN0,TIMESTAMP_LOCK_I0,PWM10,,,DB_GPIO14,GPIO0_A14,"</formula1>
    </dataValidation>
    <dataValidation type="list" allowBlank="1" sqref="M5">
      <formula1>"THM_AIN1,TIMESTAMP_LOCK_O0,PWM11,,,DB_GPIO13,GPIO0_A13,"</formula1>
    </dataValidation>
    <dataValidation type="list" allowBlank="1" sqref="M4">
      <formula1>"THM_AIN2,,MCLK6,,,DB_GPIO12,GPIO0_A12,"</formula1>
    </dataValidation>
    <dataValidation type="list" allowBlank="1" sqref="M3">
      <formula1>"THM_AIN3,,,,,DB_GPIO11,GPIO0_A11,"</formula1>
    </dataValidation>
    <dataValidation type="list" allowBlank="1" sqref="M19">
      <formula1>"SD_PWR_EN,,,,,DB_GPIO23,GPIO0_A23,"</formula1>
    </dataValidation>
    <dataValidation type="list" allowBlank="1" sqref="M18">
      <formula1>"TCK,UART4_RXD,,,,DB_GPIO22,GPIO0_A22,"</formula1>
    </dataValidation>
    <dataValidation type="list" allowBlank="1" sqref="M17">
      <formula1>"TMS,UART4_TXD,,,,DB_GPIO21,GPIO0_A21,"</formula1>
    </dataValidation>
    <dataValidation type="list" allowBlank="1" sqref="M16">
      <formula1>"SYS_RSTN_OUT,,,,,,,"</formula1>
    </dataValidation>
    <dataValidation type="list" allowBlank="1" sqref="M15">
      <formula1>"BOND2,MCLK0,,UART1_RTS,,,GPIO0_A18,"</formula1>
    </dataValidation>
    <dataValidation type="list" allowBlank="1" sqref="M14">
      <formula1>"EMMC_PWR_EN,,,UART1_CTS,,DB_GPIO17,GPIO0_A17,"</formula1>
    </dataValidation>
    <dataValidation type="list" allowBlank="1" sqref="M13">
      <formula1>"BOND1,SEN_HSYNC_D1,UART3_CTS,,,,GPIO0_A16,"</formula1>
    </dataValidation>
    <dataValidation type="list" allowBlank="1" sqref="M12">
      <formula1>"BOND0,SEN_VSYNC_D1,UART3_RTS,,,,GPIO0_A15,"</formula1>
    </dataValidation>
    <dataValidation type="list" allowBlank="1" sqref="M11">
      <formula1>"GPIO3_A3,,,,,DB_GPIO20,,"</formula1>
    </dataValidation>
    <dataValidation type="list" allowBlank="1" sqref="M10">
      <formula1>"GPIO3_A2,SEN_HSYNC_D0,,,,DB_GPIO19,,"</formula1>
    </dataValidation>
    <dataValidation type="list" allowBlank="1" sqref="M9">
      <formula1>"GPIO3_A1,,SLEEPOUT,,,DB_GPIO18,,"</formula1>
    </dataValidation>
    <dataValidation type="list" allowBlank="1" sqref="M8">
      <formula1>"SD_PWR_SW,WDT_THM_RST,,,,DB_GPIO16,,"</formula1>
    </dataValidation>
    <dataValidation type="list" allowBlank="1" sqref="M24">
      <formula1>"NULL,USB_POWER_EN,,DB_GPIO34,,,GPIO1_A7,"</formula1>
    </dataValidation>
    <dataValidation type="list" allowBlank="1" sqref="M23">
      <formula1>"NULL,USB_OVRCUR,SEN_HSYNC_D1,DB_GPIO33,,,GPIO1_A6,"</formula1>
    </dataValidation>
    <dataValidation type="list" allowBlank="1" sqref="M22">
      <formula1>"NULL,DMIC_CLK,DEBUG_BUS1,DB_GPIO32,,,GPIO1_A5,"</formula1>
    </dataValidation>
    <dataValidation type="list" allowBlank="1" sqref="M21">
      <formula1>"NULL,DMIC_DIN,DEBUG_BUS0,DB_GPIO31,,,GPIO1_A4,"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4"/>
  <sheetViews>
    <sheetView tabSelected="1" zoomScale="85" zoomScaleNormal="85" workbookViewId="0">
      <selection activeCell="U11" sqref="U11"/>
    </sheetView>
  </sheetViews>
  <sheetFormatPr defaultRowHeight="14.25" x14ac:dyDescent="0.2"/>
  <cols>
    <col min="1" max="1" width="8.75" bestFit="1" customWidth="1"/>
    <col min="2" max="2" width="10.125" bestFit="1" customWidth="1"/>
    <col min="3" max="3" width="12.5" bestFit="1" customWidth="1"/>
    <col min="4" max="4" width="6" bestFit="1" customWidth="1"/>
    <col min="5" max="5" width="11.75" bestFit="1" customWidth="1"/>
    <col min="6" max="6" width="11.875" bestFit="1" customWidth="1"/>
    <col min="7" max="8" width="11" bestFit="1" customWidth="1"/>
    <col min="9" max="9" width="11.75" bestFit="1" customWidth="1"/>
    <col min="10" max="10" width="12.5" bestFit="1" customWidth="1"/>
    <col min="11" max="11" width="11.625" bestFit="1" customWidth="1"/>
    <col min="12" max="12" width="13.5" bestFit="1" customWidth="1"/>
    <col min="13" max="13" width="10.125" bestFit="1" customWidth="1"/>
    <col min="14" max="14" width="5.625" bestFit="1" customWidth="1"/>
    <col min="15" max="15" width="5.75" bestFit="1" customWidth="1"/>
    <col min="16" max="16" width="4.875" bestFit="1" customWidth="1"/>
    <col min="17" max="17" width="6.75" bestFit="1" customWidth="1"/>
    <col min="18" max="18" width="6" bestFit="1" customWidth="1"/>
  </cols>
  <sheetData>
    <row r="1" spans="1:19" x14ac:dyDescent="0.2">
      <c r="A1" s="5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8" t="s">
        <v>11</v>
      </c>
      <c r="M1" s="8" t="s">
        <v>12</v>
      </c>
      <c r="N1" s="11" t="s">
        <v>715</v>
      </c>
      <c r="O1" s="11" t="s">
        <v>715</v>
      </c>
      <c r="P1" s="11" t="s">
        <v>715</v>
      </c>
      <c r="Q1" s="11" t="s">
        <v>715</v>
      </c>
      <c r="R1" s="4" t="s">
        <v>17</v>
      </c>
    </row>
    <row r="2" spans="1:19" x14ac:dyDescent="0.2">
      <c r="A2" s="30" t="s">
        <v>150</v>
      </c>
      <c r="B2" s="10" t="s">
        <v>774</v>
      </c>
      <c r="C2" s="33" t="s">
        <v>700</v>
      </c>
      <c r="D2" s="10" t="s">
        <v>775</v>
      </c>
      <c r="E2" s="35"/>
      <c r="F2" s="35"/>
      <c r="G2" s="35"/>
      <c r="H2" s="35"/>
      <c r="I2" s="35"/>
      <c r="J2" s="35"/>
      <c r="K2" s="35"/>
      <c r="L2" s="36"/>
      <c r="M2" s="9"/>
      <c r="N2" s="9"/>
      <c r="O2" s="9"/>
      <c r="P2" s="9"/>
      <c r="Q2" s="9">
        <v>1</v>
      </c>
      <c r="R2" s="9"/>
      <c r="S2" s="13"/>
    </row>
    <row r="3" spans="1:19" x14ac:dyDescent="0.2">
      <c r="A3" s="31"/>
      <c r="B3" s="9" t="s">
        <v>151</v>
      </c>
      <c r="C3" s="34"/>
      <c r="D3" s="9" t="s">
        <v>20</v>
      </c>
      <c r="E3" s="9"/>
      <c r="F3" s="9"/>
      <c r="G3" s="9"/>
      <c r="H3" s="9"/>
      <c r="I3" s="9"/>
      <c r="J3" s="9"/>
      <c r="K3" s="9"/>
      <c r="L3" s="9">
        <f>IF(LEN(M3)=0,"",MATCH($M3,INDEX(params!$B$3:$I$125,MATCH($B3,params!$A$3:$A$125,0),),0)-1)</f>
        <v>0</v>
      </c>
      <c r="M3" s="9" t="s">
        <v>151</v>
      </c>
      <c r="N3" s="9"/>
      <c r="O3" s="9"/>
      <c r="P3" s="9">
        <v>0</v>
      </c>
      <c r="Q3" s="9">
        <v>0</v>
      </c>
      <c r="R3" s="9"/>
    </row>
    <row r="4" spans="1:19" x14ac:dyDescent="0.2">
      <c r="A4" s="31"/>
      <c r="B4" s="9" t="s">
        <v>152</v>
      </c>
      <c r="C4" s="31"/>
      <c r="D4" s="9" t="s">
        <v>22</v>
      </c>
      <c r="E4" s="9"/>
      <c r="F4" s="9"/>
      <c r="G4" s="9"/>
      <c r="H4" s="9"/>
      <c r="I4" s="9"/>
      <c r="J4" s="9"/>
      <c r="K4" s="9"/>
      <c r="L4" s="9">
        <f>IF(LEN(M4)=0,"",MATCH($M4,INDEX(params!$B$3:$I$125,MATCH($B4,params!$A$3:$A$125,0),),0)-1)</f>
        <v>0</v>
      </c>
      <c r="M4" s="9" t="s">
        <v>152</v>
      </c>
      <c r="N4" s="9"/>
      <c r="O4" s="9"/>
      <c r="P4" s="9">
        <v>0</v>
      </c>
      <c r="Q4" s="9">
        <v>0</v>
      </c>
      <c r="R4" s="9"/>
    </row>
    <row r="5" spans="1:19" x14ac:dyDescent="0.2">
      <c r="A5" s="31"/>
      <c r="B5" s="9" t="s">
        <v>153</v>
      </c>
      <c r="C5" s="31"/>
      <c r="D5" s="9" t="s">
        <v>24</v>
      </c>
      <c r="E5" s="9"/>
      <c r="F5" s="9"/>
      <c r="G5" s="9"/>
      <c r="H5" s="9"/>
      <c r="I5" s="9"/>
      <c r="J5" s="9"/>
      <c r="K5" s="9"/>
      <c r="L5" s="9">
        <f>IF(LEN(M5)=0,"",MATCH($M5,INDEX(params!$B$3:$I$125,MATCH($B5,params!$A$3:$A$125,0),),0)-1)</f>
        <v>0</v>
      </c>
      <c r="M5" s="9" t="s">
        <v>153</v>
      </c>
      <c r="N5" s="9"/>
      <c r="O5" s="9"/>
      <c r="P5" s="9">
        <v>0</v>
      </c>
      <c r="Q5" s="9">
        <v>0</v>
      </c>
      <c r="R5" s="9"/>
    </row>
    <row r="6" spans="1:19" x14ac:dyDescent="0.2">
      <c r="A6" s="31"/>
      <c r="B6" s="9" t="s">
        <v>154</v>
      </c>
      <c r="C6" s="31"/>
      <c r="D6" s="9" t="s">
        <v>26</v>
      </c>
      <c r="E6" s="9"/>
      <c r="F6" s="9"/>
      <c r="G6" s="9"/>
      <c r="H6" s="9"/>
      <c r="I6" s="9"/>
      <c r="J6" s="9"/>
      <c r="K6" s="9"/>
      <c r="L6" s="9">
        <f>IF(LEN(M6)=0,"",MATCH($M6,INDEX(params!$B$3:$I$125,MATCH($B6,params!$A$3:$A$125,0),),0)-1)</f>
        <v>0</v>
      </c>
      <c r="M6" s="9" t="s">
        <v>154</v>
      </c>
      <c r="N6" s="9"/>
      <c r="O6" s="9"/>
      <c r="P6" s="9">
        <v>0</v>
      </c>
      <c r="Q6" s="9">
        <v>0</v>
      </c>
      <c r="R6" s="9"/>
    </row>
    <row r="7" spans="1:19" x14ac:dyDescent="0.2">
      <c r="A7" s="31"/>
      <c r="B7" s="9" t="s">
        <v>155</v>
      </c>
      <c r="C7" s="31"/>
      <c r="D7" s="9" t="s">
        <v>28</v>
      </c>
      <c r="E7" s="9"/>
      <c r="F7" s="9"/>
      <c r="G7" s="9"/>
      <c r="H7" s="9"/>
      <c r="I7" s="9"/>
      <c r="J7" s="9"/>
      <c r="K7" s="9"/>
      <c r="L7" s="9">
        <f>IF(LEN(M7)=0,"",MATCH($M7,INDEX(params!$B$3:$I$125,MATCH($B7,params!$A$3:$A$125,0),),0)-1)</f>
        <v>0</v>
      </c>
      <c r="M7" s="9" t="s">
        <v>155</v>
      </c>
      <c r="N7" s="9"/>
      <c r="O7" s="9"/>
      <c r="P7" s="9">
        <v>0</v>
      </c>
      <c r="Q7" s="9">
        <v>0</v>
      </c>
      <c r="R7" s="9"/>
    </row>
    <row r="8" spans="1:19" x14ac:dyDescent="0.2">
      <c r="A8" s="31"/>
      <c r="B8" s="9" t="s">
        <v>156</v>
      </c>
      <c r="C8" s="31"/>
      <c r="D8" s="9" t="s">
        <v>30</v>
      </c>
      <c r="E8" s="9"/>
      <c r="F8" s="9"/>
      <c r="G8" s="9"/>
      <c r="H8" s="9"/>
      <c r="I8" s="9"/>
      <c r="J8" s="9"/>
      <c r="K8" s="9"/>
      <c r="L8" s="9">
        <f>IF(LEN(M8)=0,"",MATCH($M8,INDEX(params!$B$3:$I$125,MATCH($B8,params!$A$3:$A$125,0),),0)-1)</f>
        <v>0</v>
      </c>
      <c r="M8" s="9" t="s">
        <v>156</v>
      </c>
      <c r="N8" s="9"/>
      <c r="O8" s="9"/>
      <c r="P8" s="9">
        <v>0</v>
      </c>
      <c r="Q8" s="9">
        <v>0</v>
      </c>
      <c r="R8" s="9"/>
    </row>
    <row r="9" spans="1:19" x14ac:dyDescent="0.2">
      <c r="A9" s="31"/>
      <c r="B9" s="9" t="s">
        <v>157</v>
      </c>
      <c r="C9" s="31"/>
      <c r="D9" s="9" t="s">
        <v>32</v>
      </c>
      <c r="E9" s="9"/>
      <c r="F9" s="9"/>
      <c r="G9" s="9"/>
      <c r="H9" s="9"/>
      <c r="I9" s="9"/>
      <c r="J9" s="9"/>
      <c r="K9" s="9"/>
      <c r="L9" s="9">
        <f>IF(LEN(M9)=0,"",MATCH($M9,INDEX(params!$B$3:$I$125,MATCH($B9,params!$A$3:$A$125,0),),0)-1)</f>
        <v>0</v>
      </c>
      <c r="M9" s="9" t="s">
        <v>157</v>
      </c>
      <c r="N9" s="9"/>
      <c r="O9" s="9"/>
      <c r="P9" s="9">
        <v>0</v>
      </c>
      <c r="Q9" s="9">
        <v>0</v>
      </c>
      <c r="R9" s="9"/>
    </row>
    <row r="10" spans="1:19" x14ac:dyDescent="0.2">
      <c r="A10" s="31"/>
      <c r="B10" s="9" t="s">
        <v>158</v>
      </c>
      <c r="C10" s="31"/>
      <c r="D10" s="9" t="s">
        <v>34</v>
      </c>
      <c r="E10" s="9"/>
      <c r="F10" s="9"/>
      <c r="G10" s="9"/>
      <c r="H10" s="9"/>
      <c r="I10" s="9"/>
      <c r="J10" s="9"/>
      <c r="K10" s="9"/>
      <c r="L10" s="9">
        <f>IF(LEN(M10)=0,"",MATCH($M10,INDEX(params!$B$3:$I$125,MATCH($B10,params!$A$3:$A$125,0),),0)-1)</f>
        <v>0</v>
      </c>
      <c r="M10" s="9" t="s">
        <v>158</v>
      </c>
      <c r="N10" s="9"/>
      <c r="O10" s="9"/>
      <c r="P10" s="9">
        <v>0</v>
      </c>
      <c r="Q10" s="9">
        <v>0</v>
      </c>
      <c r="R10" s="9"/>
    </row>
    <row r="11" spans="1:19" x14ac:dyDescent="0.2">
      <c r="A11" s="31"/>
      <c r="B11" s="9" t="s">
        <v>159</v>
      </c>
      <c r="C11" s="31"/>
      <c r="D11" s="9" t="s">
        <v>36</v>
      </c>
      <c r="E11" s="9"/>
      <c r="F11" s="9"/>
      <c r="G11" s="9"/>
      <c r="H11" s="9"/>
      <c r="I11" s="9"/>
      <c r="J11" s="9"/>
      <c r="K11" s="9"/>
      <c r="L11" s="9">
        <f>IF(LEN(M11)=0,"",MATCH($M11,INDEX(params!$B$3:$I$125,MATCH($B11,params!$A$3:$A$125,0),),0)-1)</f>
        <v>0</v>
      </c>
      <c r="M11" s="9" t="s">
        <v>159</v>
      </c>
      <c r="N11" s="9"/>
      <c r="O11" s="9"/>
      <c r="P11" s="9">
        <v>0</v>
      </c>
      <c r="Q11" s="9">
        <v>0</v>
      </c>
      <c r="R11" s="9"/>
    </row>
    <row r="12" spans="1:19" x14ac:dyDescent="0.2">
      <c r="A12" s="31"/>
      <c r="B12" s="9" t="s">
        <v>160</v>
      </c>
      <c r="C12" s="31"/>
      <c r="D12" s="9" t="s">
        <v>38</v>
      </c>
      <c r="E12" s="9"/>
      <c r="F12" s="9"/>
      <c r="G12" s="9"/>
      <c r="H12" s="9"/>
      <c r="I12" s="9"/>
      <c r="J12" s="9"/>
      <c r="K12" s="9"/>
      <c r="L12" s="9">
        <f>IF(LEN(M12)=0,"",MATCH($M12,INDEX(params!$B$3:$I$125,MATCH($B12,params!$A$3:$A$125,0),),0)-1)</f>
        <v>0</v>
      </c>
      <c r="M12" s="9" t="s">
        <v>160</v>
      </c>
      <c r="N12" s="9"/>
      <c r="O12" s="9"/>
      <c r="P12" s="9">
        <v>0</v>
      </c>
      <c r="Q12" s="9">
        <v>0</v>
      </c>
      <c r="R12" s="9"/>
    </row>
    <row r="13" spans="1:19" x14ac:dyDescent="0.2">
      <c r="A13" s="31"/>
      <c r="B13" s="9" t="s">
        <v>161</v>
      </c>
      <c r="C13" s="31"/>
      <c r="D13" s="9" t="s">
        <v>40</v>
      </c>
      <c r="E13" s="9"/>
      <c r="F13" s="9"/>
      <c r="G13" s="9"/>
      <c r="H13" s="9"/>
      <c r="I13" s="9"/>
      <c r="J13" s="9"/>
      <c r="K13" s="9"/>
      <c r="L13" s="9">
        <f>IF(LEN(M13)=0,"",MATCH($M13,INDEX(params!$B$3:$I$125,MATCH($B13,params!$A$3:$A$125,0),),0)-1)</f>
        <v>0</v>
      </c>
      <c r="M13" s="9" t="s">
        <v>161</v>
      </c>
      <c r="N13" s="9"/>
      <c r="O13" s="9"/>
      <c r="P13" s="9">
        <v>0</v>
      </c>
      <c r="Q13" s="9">
        <v>0</v>
      </c>
      <c r="R13" s="9"/>
    </row>
    <row r="14" spans="1:19" x14ac:dyDescent="0.2">
      <c r="A14" s="32"/>
      <c r="B14" s="9" t="s">
        <v>162</v>
      </c>
      <c r="C14" s="32"/>
      <c r="D14" s="9" t="s">
        <v>57</v>
      </c>
      <c r="E14" s="9"/>
      <c r="F14" s="9"/>
      <c r="G14" s="9"/>
      <c r="H14" s="9"/>
      <c r="I14" s="9"/>
      <c r="J14" s="9"/>
      <c r="K14" s="9"/>
      <c r="L14" s="9">
        <f>IF(LEN(M14)=0,"",MATCH($M14,INDEX(params!$B$3:$I$125,MATCH($B14,params!$A$3:$A$125,0),),0)-1)</f>
        <v>0</v>
      </c>
      <c r="M14" s="9" t="s">
        <v>162</v>
      </c>
      <c r="N14" s="9"/>
      <c r="O14" s="9"/>
      <c r="P14" s="9">
        <v>0</v>
      </c>
      <c r="Q14" s="9">
        <v>0</v>
      </c>
      <c r="R14" s="9"/>
    </row>
  </sheetData>
  <mergeCells count="2">
    <mergeCell ref="A2:A14"/>
    <mergeCell ref="C2:C14"/>
  </mergeCells>
  <phoneticPr fontId="3" type="noConversion"/>
  <dataValidations count="14">
    <dataValidation type="list" allowBlank="1" sqref="N3:Q14 E3:K14">
      <formula1>"0,1"</formula1>
    </dataValidation>
    <dataValidation type="list" allowBlank="1" sqref="M14">
      <formula1>"CDRX_L5P,VI_D20,,,,,,"</formula1>
    </dataValidation>
    <dataValidation type="list" allowBlank="1" sqref="M13">
      <formula1>"CDRX_L5N,VI_CLK1,,,,,,"</formula1>
    </dataValidation>
    <dataValidation type="list" allowBlank="1" sqref="M12">
      <formula1>"CDRX_L4P,VI_D19,,,,,,"</formula1>
    </dataValidation>
    <dataValidation type="list" allowBlank="1" sqref="M11">
      <formula1>"CDRX_L4N,VI_D18,,,,,,"</formula1>
    </dataValidation>
    <dataValidation type="list" allowBlank="1" sqref="M10">
      <formula1>"CDRX_L3P,VI_D17,,,,,,"</formula1>
    </dataValidation>
    <dataValidation type="list" allowBlank="1" sqref="M9">
      <formula1>"CDRX_L3N,VI_D16,,,,,,"</formula1>
    </dataValidation>
    <dataValidation type="list" allowBlank="1" sqref="M8">
      <formula1>"CDRX_L2P,VI_D15,,,,,,"</formula1>
    </dataValidation>
    <dataValidation type="list" allowBlank="1" sqref="M7">
      <formula1>"CDRX_L2N,VI_D14,,,,,,"</formula1>
    </dataValidation>
    <dataValidation type="list" allowBlank="1" sqref="M6">
      <formula1>"CDRX_L1P,VI_D13,,,,,,"</formula1>
    </dataValidation>
    <dataValidation type="list" allowBlank="1" sqref="M5">
      <formula1>"CDRX_L1N,VI_D12,,,,,,"</formula1>
    </dataValidation>
    <dataValidation type="list" allowBlank="1" sqref="M4">
      <formula1>"CDRX_L0P,VI_D11,,,,,,"</formula1>
    </dataValidation>
    <dataValidation type="list" allowBlank="1" sqref="M3">
      <formula1>"CDRX_L0N,VI_D10,,,,,,"</formula1>
    </dataValidation>
    <dataValidation type="list" allowBlank="1" sqref="Q2">
      <formula1>"0,1,2,3,4,5,6,7,8,9,10,11,12,13,14,15"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5"/>
  <sheetViews>
    <sheetView workbookViewId="0">
      <selection activeCell="H123" sqref="H123"/>
    </sheetView>
  </sheetViews>
  <sheetFormatPr defaultColWidth="9" defaultRowHeight="14.25" x14ac:dyDescent="0.2"/>
  <cols>
    <col min="1" max="1" width="24.25" style="1" customWidth="1"/>
    <col min="2" max="2" width="25.125" customWidth="1"/>
    <col min="3" max="3" width="18.375" customWidth="1"/>
    <col min="4" max="4" width="19.25" customWidth="1"/>
    <col min="5" max="5" width="11.625" customWidth="1"/>
    <col min="6" max="6" width="15.875" customWidth="1"/>
    <col min="7" max="7" width="14.375" customWidth="1"/>
    <col min="8" max="8" width="11.25" customWidth="1"/>
    <col min="9" max="9" width="14.375" customWidth="1"/>
    <col min="10" max="10" width="15.5" bestFit="1" customWidth="1"/>
  </cols>
  <sheetData>
    <row r="1" spans="1:10" x14ac:dyDescent="0.2">
      <c r="A1" s="2"/>
    </row>
    <row r="2" spans="1:10" x14ac:dyDescent="0.2">
      <c r="A2" s="3" t="s">
        <v>1</v>
      </c>
      <c r="B2" s="4" t="s">
        <v>163</v>
      </c>
      <c r="C2" s="4" t="s">
        <v>164</v>
      </c>
      <c r="D2" s="4" t="s">
        <v>165</v>
      </c>
      <c r="E2" s="4" t="s">
        <v>166</v>
      </c>
      <c r="F2" s="4" t="s">
        <v>167</v>
      </c>
      <c r="G2" s="4" t="s">
        <v>168</v>
      </c>
      <c r="H2" s="4" t="s">
        <v>169</v>
      </c>
      <c r="I2" s="4" t="s">
        <v>170</v>
      </c>
      <c r="J2" s="4" t="s">
        <v>769</v>
      </c>
    </row>
    <row r="3" spans="1:10" x14ac:dyDescent="0.2">
      <c r="A3" s="9" t="s">
        <v>171</v>
      </c>
      <c r="B3" s="9" t="s">
        <v>19</v>
      </c>
      <c r="C3" s="9" t="s">
        <v>172</v>
      </c>
      <c r="D3" s="9" t="s">
        <v>173</v>
      </c>
      <c r="E3" s="9" t="s">
        <v>174</v>
      </c>
      <c r="F3" s="9" t="s">
        <v>175</v>
      </c>
      <c r="G3" s="9" t="s">
        <v>176</v>
      </c>
      <c r="H3" s="9" t="s">
        <v>177</v>
      </c>
      <c r="I3" s="9" t="s">
        <v>178</v>
      </c>
      <c r="J3" s="9" t="s">
        <v>177</v>
      </c>
    </row>
    <row r="4" spans="1:10" x14ac:dyDescent="0.2">
      <c r="A4" s="9" t="s">
        <v>179</v>
      </c>
      <c r="B4" s="9" t="s">
        <v>21</v>
      </c>
      <c r="C4" s="9" t="s">
        <v>180</v>
      </c>
      <c r="D4" s="9" t="s">
        <v>181</v>
      </c>
      <c r="E4" s="9" t="s">
        <v>182</v>
      </c>
      <c r="F4" s="9" t="s">
        <v>183</v>
      </c>
      <c r="G4" s="9" t="s">
        <v>184</v>
      </c>
      <c r="H4" s="9" t="s">
        <v>185</v>
      </c>
      <c r="I4" s="9" t="s">
        <v>186</v>
      </c>
      <c r="J4" s="9" t="s">
        <v>185</v>
      </c>
    </row>
    <row r="5" spans="1:10" x14ac:dyDescent="0.2">
      <c r="A5" s="9" t="s">
        <v>187</v>
      </c>
      <c r="B5" s="9" t="s">
        <v>23</v>
      </c>
      <c r="C5" s="9" t="s">
        <v>188</v>
      </c>
      <c r="D5" s="9" t="s">
        <v>189</v>
      </c>
      <c r="E5" s="9" t="s">
        <v>190</v>
      </c>
      <c r="F5" s="9" t="s">
        <v>191</v>
      </c>
      <c r="G5" s="9" t="s">
        <v>192</v>
      </c>
      <c r="H5" s="9" t="s">
        <v>193</v>
      </c>
      <c r="I5" s="9" t="s">
        <v>194</v>
      </c>
      <c r="J5" s="9" t="s">
        <v>193</v>
      </c>
    </row>
    <row r="6" spans="1:10" x14ac:dyDescent="0.2">
      <c r="A6" s="9" t="s">
        <v>195</v>
      </c>
      <c r="B6" s="9" t="s">
        <v>25</v>
      </c>
      <c r="C6" s="9" t="s">
        <v>196</v>
      </c>
      <c r="D6" s="9" t="s">
        <v>197</v>
      </c>
      <c r="E6" s="9" t="s">
        <v>198</v>
      </c>
      <c r="F6" s="9" t="s">
        <v>199</v>
      </c>
      <c r="G6" s="9" t="s">
        <v>200</v>
      </c>
      <c r="H6" s="9" t="s">
        <v>201</v>
      </c>
      <c r="I6" s="9" t="s">
        <v>202</v>
      </c>
      <c r="J6" s="9" t="s">
        <v>201</v>
      </c>
    </row>
    <row r="7" spans="1:10" x14ac:dyDescent="0.2">
      <c r="A7" s="9" t="s">
        <v>203</v>
      </c>
      <c r="B7" s="9" t="s">
        <v>27</v>
      </c>
      <c r="C7" s="9" t="s">
        <v>204</v>
      </c>
      <c r="D7" s="9" t="s">
        <v>205</v>
      </c>
      <c r="E7" s="9" t="s">
        <v>206</v>
      </c>
      <c r="F7" s="9" t="s">
        <v>207</v>
      </c>
      <c r="G7" s="9" t="s">
        <v>208</v>
      </c>
      <c r="H7" s="9" t="s">
        <v>209</v>
      </c>
      <c r="I7" s="9" t="s">
        <v>210</v>
      </c>
      <c r="J7" s="9" t="s">
        <v>209</v>
      </c>
    </row>
    <row r="8" spans="1:10" x14ac:dyDescent="0.2">
      <c r="A8" s="9" t="s">
        <v>211</v>
      </c>
      <c r="B8" s="9" t="s">
        <v>29</v>
      </c>
      <c r="C8" s="9"/>
      <c r="D8" s="9" t="s">
        <v>212</v>
      </c>
      <c r="E8" s="9" t="s">
        <v>213</v>
      </c>
      <c r="F8" s="9"/>
      <c r="G8" s="9" t="s">
        <v>214</v>
      </c>
      <c r="H8" s="9" t="s">
        <v>215</v>
      </c>
      <c r="I8" s="9"/>
      <c r="J8" s="9" t="s">
        <v>215</v>
      </c>
    </row>
    <row r="9" spans="1:10" x14ac:dyDescent="0.2">
      <c r="A9" s="9" t="s">
        <v>216</v>
      </c>
      <c r="B9" s="9" t="s">
        <v>31</v>
      </c>
      <c r="C9" s="9" t="s">
        <v>217</v>
      </c>
      <c r="D9" s="9" t="s">
        <v>218</v>
      </c>
      <c r="E9" s="9" t="s">
        <v>219</v>
      </c>
      <c r="F9" s="9"/>
      <c r="G9" s="9" t="s">
        <v>220</v>
      </c>
      <c r="H9" s="9" t="s">
        <v>221</v>
      </c>
      <c r="I9" s="9"/>
      <c r="J9" s="9" t="s">
        <v>221</v>
      </c>
    </row>
    <row r="10" spans="1:10" x14ac:dyDescent="0.2">
      <c r="A10" s="9" t="s">
        <v>222</v>
      </c>
      <c r="B10" s="9" t="s">
        <v>33</v>
      </c>
      <c r="C10" s="9" t="s">
        <v>223</v>
      </c>
      <c r="D10" s="9" t="s">
        <v>224</v>
      </c>
      <c r="E10" s="9" t="s">
        <v>225</v>
      </c>
      <c r="F10" s="9"/>
      <c r="G10" s="9" t="s">
        <v>226</v>
      </c>
      <c r="H10" s="9" t="s">
        <v>227</v>
      </c>
      <c r="I10" s="9"/>
      <c r="J10" s="9" t="s">
        <v>227</v>
      </c>
    </row>
    <row r="11" spans="1:10" x14ac:dyDescent="0.2">
      <c r="A11" s="9" t="s">
        <v>228</v>
      </c>
      <c r="B11" s="9" t="s">
        <v>35</v>
      </c>
      <c r="C11" s="9" t="s">
        <v>229</v>
      </c>
      <c r="D11" s="9" t="s">
        <v>230</v>
      </c>
      <c r="E11" s="9" t="s">
        <v>231</v>
      </c>
      <c r="F11" s="9"/>
      <c r="G11" s="9" t="s">
        <v>232</v>
      </c>
      <c r="H11" s="9" t="s">
        <v>233</v>
      </c>
      <c r="I11" s="9"/>
      <c r="J11" s="9" t="s">
        <v>233</v>
      </c>
    </row>
    <row r="12" spans="1:10" x14ac:dyDescent="0.2">
      <c r="A12" s="9" t="s">
        <v>234</v>
      </c>
      <c r="B12" s="9" t="s">
        <v>37</v>
      </c>
      <c r="C12" s="9" t="s">
        <v>235</v>
      </c>
      <c r="D12" s="9" t="s">
        <v>236</v>
      </c>
      <c r="E12" s="9" t="s">
        <v>237</v>
      </c>
      <c r="F12" s="9"/>
      <c r="G12" s="9" t="s">
        <v>238</v>
      </c>
      <c r="H12" s="9" t="s">
        <v>239</v>
      </c>
      <c r="I12" s="9"/>
      <c r="J12" s="9" t="s">
        <v>239</v>
      </c>
    </row>
    <row r="13" spans="1:10" x14ac:dyDescent="0.2">
      <c r="A13" s="9" t="s">
        <v>240</v>
      </c>
      <c r="B13" s="9" t="s">
        <v>39</v>
      </c>
      <c r="C13" s="9" t="s">
        <v>241</v>
      </c>
      <c r="D13" s="9" t="s">
        <v>242</v>
      </c>
      <c r="E13" s="9" t="s">
        <v>243</v>
      </c>
      <c r="F13" s="9" t="s">
        <v>244</v>
      </c>
      <c r="G13" s="9" t="s">
        <v>245</v>
      </c>
      <c r="H13" s="9" t="s">
        <v>246</v>
      </c>
      <c r="I13" s="9" t="s">
        <v>247</v>
      </c>
      <c r="J13" s="9" t="s">
        <v>246</v>
      </c>
    </row>
    <row r="14" spans="1:10" x14ac:dyDescent="0.2">
      <c r="A14" s="9" t="s">
        <v>248</v>
      </c>
      <c r="B14" s="9" t="s">
        <v>42</v>
      </c>
      <c r="C14" s="9"/>
      <c r="D14" s="9"/>
      <c r="E14" s="9"/>
      <c r="F14" s="9"/>
      <c r="G14" s="9" t="s">
        <v>249</v>
      </c>
      <c r="H14" s="9" t="s">
        <v>250</v>
      </c>
      <c r="I14" s="9"/>
      <c r="J14" s="9" t="s">
        <v>42</v>
      </c>
    </row>
    <row r="15" spans="1:10" x14ac:dyDescent="0.2">
      <c r="A15" s="9" t="s">
        <v>251</v>
      </c>
      <c r="B15" s="9" t="s">
        <v>43</v>
      </c>
      <c r="C15" s="9"/>
      <c r="D15" s="9" t="s">
        <v>252</v>
      </c>
      <c r="E15" s="9"/>
      <c r="F15" s="9"/>
      <c r="G15" s="9" t="s">
        <v>253</v>
      </c>
      <c r="H15" s="9" t="s">
        <v>254</v>
      </c>
      <c r="I15" s="9"/>
      <c r="J15" s="9" t="s">
        <v>43</v>
      </c>
    </row>
    <row r="16" spans="1:10" x14ac:dyDescent="0.2">
      <c r="A16" s="9" t="s">
        <v>255</v>
      </c>
      <c r="B16" s="9" t="s">
        <v>44</v>
      </c>
      <c r="C16" s="9" t="s">
        <v>256</v>
      </c>
      <c r="D16" s="9" t="s">
        <v>257</v>
      </c>
      <c r="E16" s="9"/>
      <c r="F16" s="9"/>
      <c r="G16" s="9" t="s">
        <v>258</v>
      </c>
      <c r="H16" s="9" t="s">
        <v>259</v>
      </c>
      <c r="I16" s="9"/>
      <c r="J16" s="9" t="s">
        <v>44</v>
      </c>
    </row>
    <row r="17" spans="1:10" x14ac:dyDescent="0.2">
      <c r="A17" s="9" t="s">
        <v>260</v>
      </c>
      <c r="B17" s="9" t="s">
        <v>45</v>
      </c>
      <c r="C17" s="9" t="s">
        <v>261</v>
      </c>
      <c r="D17" s="9" t="s">
        <v>262</v>
      </c>
      <c r="E17" s="9"/>
      <c r="F17" s="9"/>
      <c r="G17" s="9" t="s">
        <v>263</v>
      </c>
      <c r="H17" s="9" t="s">
        <v>264</v>
      </c>
      <c r="I17" s="9"/>
      <c r="J17" s="9" t="s">
        <v>45</v>
      </c>
    </row>
    <row r="18" spans="1:10" x14ac:dyDescent="0.2">
      <c r="A18" s="9" t="s">
        <v>265</v>
      </c>
      <c r="B18" s="9" t="s">
        <v>47</v>
      </c>
      <c r="C18" s="9" t="s">
        <v>266</v>
      </c>
      <c r="D18" s="9"/>
      <c r="E18" s="9"/>
      <c r="F18" s="9"/>
      <c r="G18" s="9" t="s">
        <v>267</v>
      </c>
      <c r="H18" s="9"/>
      <c r="I18" s="9"/>
      <c r="J18" s="9" t="s">
        <v>266</v>
      </c>
    </row>
    <row r="19" spans="1:10" x14ac:dyDescent="0.2">
      <c r="A19" s="9" t="s">
        <v>268</v>
      </c>
      <c r="B19" s="9" t="s">
        <v>48</v>
      </c>
      <c r="C19" s="9"/>
      <c r="D19" s="9" t="s">
        <v>269</v>
      </c>
      <c r="E19" s="9"/>
      <c r="F19" s="9"/>
      <c r="G19" s="9" t="s">
        <v>270</v>
      </c>
      <c r="H19" s="9"/>
      <c r="I19" s="9"/>
      <c r="J19" s="9" t="s">
        <v>48</v>
      </c>
    </row>
    <row r="20" spans="1:10" x14ac:dyDescent="0.2">
      <c r="A20" s="9" t="s">
        <v>271</v>
      </c>
      <c r="B20" s="9" t="s">
        <v>49</v>
      </c>
      <c r="C20" s="9" t="s">
        <v>272</v>
      </c>
      <c r="D20" s="9"/>
      <c r="E20" s="9"/>
      <c r="F20" s="9"/>
      <c r="G20" s="9" t="s">
        <v>273</v>
      </c>
      <c r="H20" s="9"/>
      <c r="I20" s="9"/>
      <c r="J20" s="9" t="s">
        <v>49</v>
      </c>
    </row>
    <row r="21" spans="1:10" x14ac:dyDescent="0.2">
      <c r="A21" s="9" t="s">
        <v>274</v>
      </c>
      <c r="B21" s="9" t="s">
        <v>50</v>
      </c>
      <c r="C21" s="9"/>
      <c r="D21" s="9"/>
      <c r="E21" s="9"/>
      <c r="F21" s="9"/>
      <c r="G21" s="9" t="s">
        <v>275</v>
      </c>
      <c r="H21" s="9"/>
      <c r="I21" s="9"/>
      <c r="J21" s="9" t="s">
        <v>50</v>
      </c>
    </row>
    <row r="22" spans="1:10" x14ac:dyDescent="0.2">
      <c r="A22" s="9" t="s">
        <v>276</v>
      </c>
      <c r="B22" s="9" t="s">
        <v>51</v>
      </c>
      <c r="C22" s="9" t="s">
        <v>277</v>
      </c>
      <c r="D22" s="9" t="s">
        <v>278</v>
      </c>
      <c r="E22" s="9"/>
      <c r="F22" s="9"/>
      <c r="G22" s="9"/>
      <c r="H22" s="9" t="s">
        <v>279</v>
      </c>
      <c r="I22" s="9"/>
      <c r="J22" s="9" t="s">
        <v>51</v>
      </c>
    </row>
    <row r="23" spans="1:10" x14ac:dyDescent="0.2">
      <c r="A23" s="9" t="s">
        <v>280</v>
      </c>
      <c r="B23" s="9" t="s">
        <v>52</v>
      </c>
      <c r="C23" s="9" t="s">
        <v>281</v>
      </c>
      <c r="D23" s="9" t="s">
        <v>282</v>
      </c>
      <c r="E23" s="9"/>
      <c r="F23" s="9"/>
      <c r="G23" s="9"/>
      <c r="H23" s="9" t="s">
        <v>283</v>
      </c>
      <c r="I23" s="9"/>
      <c r="J23" s="9" t="s">
        <v>52</v>
      </c>
    </row>
    <row r="24" spans="1:10" x14ac:dyDescent="0.2">
      <c r="A24" s="9" t="s">
        <v>284</v>
      </c>
      <c r="B24" s="9" t="s">
        <v>53</v>
      </c>
      <c r="C24" s="9"/>
      <c r="D24" s="9"/>
      <c r="E24" s="9" t="s">
        <v>285</v>
      </c>
      <c r="F24" s="9"/>
      <c r="G24" s="9" t="s">
        <v>286</v>
      </c>
      <c r="H24" s="9" t="s">
        <v>287</v>
      </c>
      <c r="I24" s="9"/>
      <c r="J24" s="9" t="s">
        <v>287</v>
      </c>
    </row>
    <row r="25" spans="1:10" x14ac:dyDescent="0.2">
      <c r="A25" s="9" t="s">
        <v>288</v>
      </c>
      <c r="B25" s="9" t="s">
        <v>54</v>
      </c>
      <c r="C25" s="9" t="s">
        <v>289</v>
      </c>
      <c r="D25" s="9"/>
      <c r="E25" s="9" t="s">
        <v>290</v>
      </c>
      <c r="F25" s="9"/>
      <c r="G25" s="9"/>
      <c r="H25" s="9" t="s">
        <v>291</v>
      </c>
      <c r="I25" s="9"/>
      <c r="J25" s="9" t="s">
        <v>54</v>
      </c>
    </row>
    <row r="26" spans="1:10" x14ac:dyDescent="0.2">
      <c r="A26" s="9" t="s">
        <v>292</v>
      </c>
      <c r="B26" s="9" t="s">
        <v>55</v>
      </c>
      <c r="C26" s="9"/>
      <c r="D26" s="9"/>
      <c r="E26" s="9"/>
      <c r="F26" s="9"/>
      <c r="G26" s="9"/>
      <c r="H26" s="9"/>
      <c r="I26" s="9"/>
      <c r="J26" s="9" t="s">
        <v>55</v>
      </c>
    </row>
    <row r="27" spans="1:10" x14ac:dyDescent="0.2">
      <c r="A27" s="9" t="s">
        <v>293</v>
      </c>
      <c r="B27" s="9" t="s">
        <v>56</v>
      </c>
      <c r="C27" s="9" t="s">
        <v>294</v>
      </c>
      <c r="D27" s="9"/>
      <c r="E27" s="9"/>
      <c r="F27" s="9"/>
      <c r="G27" s="9" t="s">
        <v>295</v>
      </c>
      <c r="H27" s="9" t="s">
        <v>296</v>
      </c>
      <c r="I27" s="9"/>
      <c r="J27" s="9" t="s">
        <v>56</v>
      </c>
    </row>
    <row r="28" spans="1:10" x14ac:dyDescent="0.2">
      <c r="A28" s="9" t="s">
        <v>297</v>
      </c>
      <c r="B28" s="9" t="s">
        <v>58</v>
      </c>
      <c r="C28" s="9" t="s">
        <v>298</v>
      </c>
      <c r="D28" s="9"/>
      <c r="E28" s="9"/>
      <c r="F28" s="9"/>
      <c r="G28" s="9" t="s">
        <v>299</v>
      </c>
      <c r="H28" s="9" t="s">
        <v>300</v>
      </c>
      <c r="I28" s="9"/>
      <c r="J28" s="9" t="s">
        <v>58</v>
      </c>
    </row>
    <row r="29" spans="1:10" x14ac:dyDescent="0.2">
      <c r="A29" s="9" t="s">
        <v>301</v>
      </c>
      <c r="B29" s="9" t="s">
        <v>60</v>
      </c>
      <c r="C29" s="9"/>
      <c r="D29" s="9"/>
      <c r="E29" s="9"/>
      <c r="F29" s="9"/>
      <c r="G29" s="9" t="s">
        <v>302</v>
      </c>
      <c r="H29" s="9" t="s">
        <v>303</v>
      </c>
      <c r="I29" s="9"/>
      <c r="J29" s="9" t="s">
        <v>60</v>
      </c>
    </row>
    <row r="30" spans="1:10" x14ac:dyDescent="0.2">
      <c r="A30" s="9" t="s">
        <v>304</v>
      </c>
      <c r="B30" s="9" t="s">
        <v>63</v>
      </c>
      <c r="C30" s="9" t="s">
        <v>305</v>
      </c>
      <c r="D30" s="9" t="s">
        <v>306</v>
      </c>
      <c r="E30" s="9" t="s">
        <v>307</v>
      </c>
      <c r="F30" s="9" t="s">
        <v>308</v>
      </c>
      <c r="G30" s="9" t="s">
        <v>309</v>
      </c>
      <c r="H30" s="9" t="s">
        <v>310</v>
      </c>
      <c r="I30" s="9" t="s">
        <v>311</v>
      </c>
      <c r="J30" s="9" t="s">
        <v>63</v>
      </c>
    </row>
    <row r="31" spans="1:10" x14ac:dyDescent="0.2">
      <c r="A31" s="9" t="s">
        <v>312</v>
      </c>
      <c r="B31" s="9" t="s">
        <v>64</v>
      </c>
      <c r="C31" s="9" t="s">
        <v>313</v>
      </c>
      <c r="D31" s="9" t="s">
        <v>314</v>
      </c>
      <c r="E31" s="9" t="s">
        <v>315</v>
      </c>
      <c r="F31" s="9" t="s">
        <v>316</v>
      </c>
      <c r="G31" s="9" t="s">
        <v>317</v>
      </c>
      <c r="H31" s="9" t="s">
        <v>318</v>
      </c>
      <c r="I31" s="9" t="s">
        <v>319</v>
      </c>
      <c r="J31" s="9" t="s">
        <v>64</v>
      </c>
    </row>
    <row r="32" spans="1:10" x14ac:dyDescent="0.2">
      <c r="A32" s="9" t="s">
        <v>320</v>
      </c>
      <c r="B32" s="9" t="s">
        <v>65</v>
      </c>
      <c r="C32" s="9" t="s">
        <v>321</v>
      </c>
      <c r="D32" s="9"/>
      <c r="E32" s="9" t="s">
        <v>322</v>
      </c>
      <c r="F32" s="9" t="s">
        <v>323</v>
      </c>
      <c r="G32" s="9" t="s">
        <v>324</v>
      </c>
      <c r="H32" s="9" t="s">
        <v>325</v>
      </c>
      <c r="I32" s="9"/>
      <c r="J32" s="9" t="s">
        <v>65</v>
      </c>
    </row>
    <row r="33" spans="1:10" x14ac:dyDescent="0.2">
      <c r="A33" s="9" t="s">
        <v>326</v>
      </c>
      <c r="B33" s="9" t="s">
        <v>66</v>
      </c>
      <c r="C33" s="9" t="s">
        <v>327</v>
      </c>
      <c r="D33" s="9"/>
      <c r="E33" s="9" t="s">
        <v>328</v>
      </c>
      <c r="F33" s="9" t="s">
        <v>329</v>
      </c>
      <c r="G33" s="9" t="s">
        <v>330</v>
      </c>
      <c r="H33" s="9" t="s">
        <v>331</v>
      </c>
      <c r="I33" s="9"/>
      <c r="J33" s="9" t="s">
        <v>66</v>
      </c>
    </row>
    <row r="34" spans="1:10" x14ac:dyDescent="0.2">
      <c r="A34" s="9" t="s">
        <v>332</v>
      </c>
      <c r="B34" s="9" t="s">
        <v>67</v>
      </c>
      <c r="C34" s="9"/>
      <c r="D34" s="9" t="s">
        <v>333</v>
      </c>
      <c r="E34" s="9"/>
      <c r="F34" s="9"/>
      <c r="G34" s="9" t="s">
        <v>334</v>
      </c>
      <c r="H34" s="9" t="s">
        <v>335</v>
      </c>
      <c r="I34" s="9" t="s">
        <v>336</v>
      </c>
      <c r="J34" s="9" t="s">
        <v>335</v>
      </c>
    </row>
    <row r="35" spans="1:10" x14ac:dyDescent="0.2">
      <c r="A35" s="9" t="s">
        <v>337</v>
      </c>
      <c r="B35" s="9" t="s">
        <v>68</v>
      </c>
      <c r="C35" s="9"/>
      <c r="D35" s="9" t="s">
        <v>338</v>
      </c>
      <c r="E35" s="9"/>
      <c r="F35" s="9"/>
      <c r="G35" s="9" t="s">
        <v>339</v>
      </c>
      <c r="H35" s="9" t="s">
        <v>340</v>
      </c>
      <c r="I35" s="9" t="s">
        <v>341</v>
      </c>
      <c r="J35" s="9" t="s">
        <v>340</v>
      </c>
    </row>
    <row r="36" spans="1:10" x14ac:dyDescent="0.2">
      <c r="A36" s="9" t="s">
        <v>342</v>
      </c>
      <c r="B36" s="9" t="s">
        <v>69</v>
      </c>
      <c r="C36" s="9" t="s">
        <v>343</v>
      </c>
      <c r="D36" s="9" t="s">
        <v>344</v>
      </c>
      <c r="E36" s="9" t="s">
        <v>345</v>
      </c>
      <c r="F36" s="9" t="s">
        <v>346</v>
      </c>
      <c r="G36" s="9" t="s">
        <v>347</v>
      </c>
      <c r="H36" s="9" t="s">
        <v>348</v>
      </c>
      <c r="I36" s="9" t="s">
        <v>349</v>
      </c>
      <c r="J36" s="9" t="s">
        <v>348</v>
      </c>
    </row>
    <row r="37" spans="1:10" x14ac:dyDescent="0.2">
      <c r="A37" s="9" t="s">
        <v>350</v>
      </c>
      <c r="B37" s="9" t="s">
        <v>70</v>
      </c>
      <c r="C37" s="9" t="s">
        <v>351</v>
      </c>
      <c r="D37" s="9" t="s">
        <v>352</v>
      </c>
      <c r="E37" s="9" t="s">
        <v>353</v>
      </c>
      <c r="F37" s="9" t="s">
        <v>354</v>
      </c>
      <c r="G37" s="9"/>
      <c r="H37" s="9" t="s">
        <v>355</v>
      </c>
      <c r="I37" s="9" t="s">
        <v>356</v>
      </c>
      <c r="J37" s="9" t="s">
        <v>355</v>
      </c>
    </row>
    <row r="38" spans="1:10" x14ac:dyDescent="0.2">
      <c r="A38" s="9" t="s">
        <v>357</v>
      </c>
      <c r="B38" s="9" t="s">
        <v>71</v>
      </c>
      <c r="C38" s="9"/>
      <c r="D38" s="9" t="s">
        <v>358</v>
      </c>
      <c r="E38" s="9" t="s">
        <v>359</v>
      </c>
      <c r="F38" s="9" t="s">
        <v>360</v>
      </c>
      <c r="G38" s="9" t="s">
        <v>361</v>
      </c>
      <c r="H38" s="9" t="s">
        <v>362</v>
      </c>
      <c r="I38" s="9" t="s">
        <v>363</v>
      </c>
      <c r="J38" s="9" t="s">
        <v>362</v>
      </c>
    </row>
    <row r="39" spans="1:10" x14ac:dyDescent="0.2">
      <c r="A39" s="9" t="s">
        <v>364</v>
      </c>
      <c r="B39" s="9" t="s">
        <v>72</v>
      </c>
      <c r="C39" s="9"/>
      <c r="D39" s="9" t="s">
        <v>365</v>
      </c>
      <c r="E39" s="9" t="s">
        <v>366</v>
      </c>
      <c r="F39" s="9" t="s">
        <v>367</v>
      </c>
      <c r="G39" s="9" t="s">
        <v>368</v>
      </c>
      <c r="H39" s="9" t="s">
        <v>369</v>
      </c>
      <c r="I39" s="9" t="s">
        <v>370</v>
      </c>
      <c r="J39" s="9" t="s">
        <v>369</v>
      </c>
    </row>
    <row r="40" spans="1:10" x14ac:dyDescent="0.2">
      <c r="A40" s="9" t="s">
        <v>371</v>
      </c>
      <c r="B40" s="9" t="s">
        <v>73</v>
      </c>
      <c r="C40" s="9" t="s">
        <v>372</v>
      </c>
      <c r="D40" s="9" t="s">
        <v>373</v>
      </c>
      <c r="E40" s="9" t="s">
        <v>374</v>
      </c>
      <c r="F40" s="9" t="s">
        <v>375</v>
      </c>
      <c r="G40" s="9" t="s">
        <v>376</v>
      </c>
      <c r="H40" s="9" t="s">
        <v>377</v>
      </c>
      <c r="I40" s="9"/>
      <c r="J40" s="9" t="s">
        <v>377</v>
      </c>
    </row>
    <row r="41" spans="1:10" x14ac:dyDescent="0.2">
      <c r="A41" s="9" t="s">
        <v>378</v>
      </c>
      <c r="B41" s="9" t="s">
        <v>74</v>
      </c>
      <c r="C41" s="9" t="s">
        <v>379</v>
      </c>
      <c r="D41" s="9" t="s">
        <v>380</v>
      </c>
      <c r="E41" s="9" t="s">
        <v>381</v>
      </c>
      <c r="F41" s="9" t="s">
        <v>382</v>
      </c>
      <c r="G41" s="9" t="s">
        <v>383</v>
      </c>
      <c r="H41" s="9" t="s">
        <v>384</v>
      </c>
      <c r="I41" s="9"/>
      <c r="J41" s="9" t="s">
        <v>384</v>
      </c>
    </row>
    <row r="42" spans="1:10" x14ac:dyDescent="0.2">
      <c r="A42" s="9" t="s">
        <v>385</v>
      </c>
      <c r="B42" s="10" t="s">
        <v>713</v>
      </c>
      <c r="C42" s="9" t="s">
        <v>386</v>
      </c>
      <c r="D42" s="9" t="s">
        <v>387</v>
      </c>
      <c r="E42" s="9" t="s">
        <v>388</v>
      </c>
      <c r="F42" s="9"/>
      <c r="G42" s="9"/>
      <c r="H42" s="9" t="s">
        <v>389</v>
      </c>
      <c r="I42" s="9"/>
      <c r="J42" s="9" t="s">
        <v>389</v>
      </c>
    </row>
    <row r="43" spans="1:10" x14ac:dyDescent="0.2">
      <c r="A43" s="9" t="s">
        <v>390</v>
      </c>
      <c r="B43" s="10" t="s">
        <v>713</v>
      </c>
      <c r="C43" s="9" t="s">
        <v>391</v>
      </c>
      <c r="D43" s="9" t="s">
        <v>392</v>
      </c>
      <c r="E43" s="9" t="s">
        <v>393</v>
      </c>
      <c r="F43" s="9"/>
      <c r="G43" s="9"/>
      <c r="H43" s="9" t="s">
        <v>394</v>
      </c>
      <c r="I43" s="9"/>
      <c r="J43" s="9" t="s">
        <v>394</v>
      </c>
    </row>
    <row r="44" spans="1:10" x14ac:dyDescent="0.2">
      <c r="A44" s="9" t="s">
        <v>395</v>
      </c>
      <c r="B44" s="10" t="s">
        <v>713</v>
      </c>
      <c r="C44" s="9" t="s">
        <v>396</v>
      </c>
      <c r="D44" s="9" t="s">
        <v>281</v>
      </c>
      <c r="E44" s="9" t="s">
        <v>397</v>
      </c>
      <c r="F44" s="9"/>
      <c r="G44" s="9"/>
      <c r="H44" s="9" t="s">
        <v>398</v>
      </c>
      <c r="I44" s="9"/>
      <c r="J44" s="9" t="s">
        <v>398</v>
      </c>
    </row>
    <row r="45" spans="1:10" x14ac:dyDescent="0.2">
      <c r="A45" s="9" t="s">
        <v>399</v>
      </c>
      <c r="B45" s="10" t="s">
        <v>713</v>
      </c>
      <c r="C45" s="9" t="s">
        <v>400</v>
      </c>
      <c r="D45" s="9"/>
      <c r="E45" s="9" t="s">
        <v>401</v>
      </c>
      <c r="F45" s="9"/>
      <c r="G45" s="9"/>
      <c r="H45" s="9" t="s">
        <v>402</v>
      </c>
      <c r="I45" s="9"/>
      <c r="J45" s="9" t="s">
        <v>402</v>
      </c>
    </row>
    <row r="46" spans="1:10" x14ac:dyDescent="0.2">
      <c r="A46" s="9" t="s">
        <v>403</v>
      </c>
      <c r="B46" s="9" t="s">
        <v>81</v>
      </c>
      <c r="C46" s="9" t="s">
        <v>404</v>
      </c>
      <c r="D46" s="9" t="s">
        <v>405</v>
      </c>
      <c r="E46" s="9" t="s">
        <v>406</v>
      </c>
      <c r="F46" s="9" t="s">
        <v>407</v>
      </c>
      <c r="G46" s="9" t="s">
        <v>408</v>
      </c>
      <c r="H46" s="9" t="s">
        <v>409</v>
      </c>
      <c r="I46" s="9"/>
      <c r="J46" s="9" t="s">
        <v>81</v>
      </c>
    </row>
    <row r="47" spans="1:10" x14ac:dyDescent="0.2">
      <c r="A47" s="9" t="s">
        <v>410</v>
      </c>
      <c r="B47" s="9" t="s">
        <v>82</v>
      </c>
      <c r="C47" s="9" t="s">
        <v>411</v>
      </c>
      <c r="D47" s="9" t="s">
        <v>412</v>
      </c>
      <c r="E47" s="9" t="s">
        <v>413</v>
      </c>
      <c r="F47" s="9" t="s">
        <v>414</v>
      </c>
      <c r="G47" s="9" t="s">
        <v>415</v>
      </c>
      <c r="H47" s="9" t="s">
        <v>416</v>
      </c>
      <c r="I47" s="9"/>
      <c r="J47" s="9" t="s">
        <v>82</v>
      </c>
    </row>
    <row r="48" spans="1:10" x14ac:dyDescent="0.2">
      <c r="A48" s="9" t="s">
        <v>417</v>
      </c>
      <c r="B48" s="9" t="s">
        <v>83</v>
      </c>
      <c r="C48" s="9" t="s">
        <v>418</v>
      </c>
      <c r="D48" s="9" t="s">
        <v>419</v>
      </c>
      <c r="E48" s="9" t="s">
        <v>420</v>
      </c>
      <c r="F48" s="9"/>
      <c r="G48" s="9" t="s">
        <v>421</v>
      </c>
      <c r="H48" s="9" t="s">
        <v>422</v>
      </c>
      <c r="I48" s="9"/>
      <c r="J48" s="9" t="s">
        <v>83</v>
      </c>
    </row>
    <row r="49" spans="1:10" x14ac:dyDescent="0.2">
      <c r="A49" s="9" t="s">
        <v>423</v>
      </c>
      <c r="B49" s="9" t="s">
        <v>84</v>
      </c>
      <c r="C49" s="9" t="s">
        <v>424</v>
      </c>
      <c r="D49" s="9" t="s">
        <v>425</v>
      </c>
      <c r="E49" s="9" t="s">
        <v>426</v>
      </c>
      <c r="F49" s="9"/>
      <c r="G49" s="9" t="s">
        <v>427</v>
      </c>
      <c r="H49" s="9" t="s">
        <v>428</v>
      </c>
      <c r="I49" s="9"/>
      <c r="J49" s="9" t="s">
        <v>84</v>
      </c>
    </row>
    <row r="50" spans="1:10" x14ac:dyDescent="0.2">
      <c r="A50" s="9" t="s">
        <v>429</v>
      </c>
      <c r="B50" s="9" t="s">
        <v>85</v>
      </c>
      <c r="C50" s="9" t="s">
        <v>430</v>
      </c>
      <c r="D50" s="9" t="s">
        <v>431</v>
      </c>
      <c r="E50" s="9" t="s">
        <v>432</v>
      </c>
      <c r="F50" s="9"/>
      <c r="G50" s="9" t="s">
        <v>433</v>
      </c>
      <c r="H50" s="9" t="s">
        <v>434</v>
      </c>
      <c r="I50" s="9"/>
      <c r="J50" s="9" t="s">
        <v>434</v>
      </c>
    </row>
    <row r="51" spans="1:10" x14ac:dyDescent="0.2">
      <c r="A51" s="9" t="s">
        <v>435</v>
      </c>
      <c r="B51" s="9" t="s">
        <v>86</v>
      </c>
      <c r="C51" s="9" t="s">
        <v>436</v>
      </c>
      <c r="D51" s="9" t="s">
        <v>437</v>
      </c>
      <c r="E51" s="9" t="s">
        <v>438</v>
      </c>
      <c r="F51" s="9"/>
      <c r="G51" s="9" t="s">
        <v>439</v>
      </c>
      <c r="H51" s="9" t="s">
        <v>440</v>
      </c>
      <c r="I51" s="9"/>
      <c r="J51" s="9" t="s">
        <v>86</v>
      </c>
    </row>
    <row r="52" spans="1:10" x14ac:dyDescent="0.2">
      <c r="A52" s="9" t="s">
        <v>441</v>
      </c>
      <c r="B52" s="9" t="s">
        <v>87</v>
      </c>
      <c r="C52" s="9" t="s">
        <v>442</v>
      </c>
      <c r="D52" s="9" t="s">
        <v>443</v>
      </c>
      <c r="E52" s="9" t="s">
        <v>444</v>
      </c>
      <c r="F52" s="9"/>
      <c r="G52" s="9" t="s">
        <v>445</v>
      </c>
      <c r="H52" s="9" t="s">
        <v>446</v>
      </c>
      <c r="I52" s="9"/>
      <c r="J52" s="9" t="s">
        <v>446</v>
      </c>
    </row>
    <row r="53" spans="1:10" x14ac:dyDescent="0.2">
      <c r="A53" s="9" t="s">
        <v>447</v>
      </c>
      <c r="B53" s="9" t="s">
        <v>88</v>
      </c>
      <c r="C53" s="9" t="s">
        <v>448</v>
      </c>
      <c r="D53" s="9" t="s">
        <v>449</v>
      </c>
      <c r="E53" s="9" t="s">
        <v>450</v>
      </c>
      <c r="F53" s="9" t="s">
        <v>451</v>
      </c>
      <c r="G53" s="9" t="s">
        <v>452</v>
      </c>
      <c r="H53" s="9" t="s">
        <v>453</v>
      </c>
      <c r="I53" s="9"/>
      <c r="J53" s="9" t="s">
        <v>453</v>
      </c>
    </row>
    <row r="54" spans="1:10" x14ac:dyDescent="0.2">
      <c r="A54" s="9" t="s">
        <v>454</v>
      </c>
      <c r="B54" s="9" t="s">
        <v>89</v>
      </c>
      <c r="C54" s="9" t="s">
        <v>455</v>
      </c>
      <c r="D54" s="9" t="s">
        <v>456</v>
      </c>
      <c r="E54" s="9" t="s">
        <v>457</v>
      </c>
      <c r="F54" s="9" t="s">
        <v>458</v>
      </c>
      <c r="G54" s="9" t="s">
        <v>459</v>
      </c>
      <c r="H54" s="9" t="s">
        <v>460</v>
      </c>
      <c r="I54" s="9"/>
      <c r="J54" s="9" t="s">
        <v>89</v>
      </c>
    </row>
    <row r="55" spans="1:10" x14ac:dyDescent="0.2">
      <c r="A55" s="9" t="s">
        <v>461</v>
      </c>
      <c r="B55" s="9" t="s">
        <v>90</v>
      </c>
      <c r="C55" s="9" t="s">
        <v>462</v>
      </c>
      <c r="D55" s="9" t="s">
        <v>463</v>
      </c>
      <c r="E55" s="9" t="s">
        <v>464</v>
      </c>
      <c r="F55" s="9" t="s">
        <v>465</v>
      </c>
      <c r="G55" s="9" t="s">
        <v>466</v>
      </c>
      <c r="H55" s="9" t="s">
        <v>467</v>
      </c>
      <c r="I55" s="9"/>
      <c r="J55" s="9" t="s">
        <v>90</v>
      </c>
    </row>
    <row r="56" spans="1:10" x14ac:dyDescent="0.2">
      <c r="A56" s="9" t="s">
        <v>468</v>
      </c>
      <c r="B56" s="9" t="s">
        <v>91</v>
      </c>
      <c r="C56" s="9" t="s">
        <v>469</v>
      </c>
      <c r="D56" s="9" t="s">
        <v>470</v>
      </c>
      <c r="E56" s="9"/>
      <c r="F56" s="9" t="s">
        <v>471</v>
      </c>
      <c r="G56" s="9" t="s">
        <v>472</v>
      </c>
      <c r="H56" s="9" t="s">
        <v>473</v>
      </c>
      <c r="I56" s="9"/>
      <c r="J56" s="9" t="s">
        <v>91</v>
      </c>
    </row>
    <row r="57" spans="1:10" x14ac:dyDescent="0.2">
      <c r="A57" s="9" t="s">
        <v>474</v>
      </c>
      <c r="B57" s="9" t="s">
        <v>92</v>
      </c>
      <c r="C57" s="9" t="s">
        <v>475</v>
      </c>
      <c r="D57" s="9" t="s">
        <v>476</v>
      </c>
      <c r="E57" s="9"/>
      <c r="F57" s="9" t="s">
        <v>477</v>
      </c>
      <c r="G57" s="9" t="s">
        <v>478</v>
      </c>
      <c r="H57" s="9" t="s">
        <v>479</v>
      </c>
      <c r="I57" s="9"/>
      <c r="J57" s="9" t="s">
        <v>92</v>
      </c>
    </row>
    <row r="58" spans="1:10" x14ac:dyDescent="0.2">
      <c r="A58" s="9" t="s">
        <v>480</v>
      </c>
      <c r="B58" s="9" t="s">
        <v>93</v>
      </c>
      <c r="C58" s="9" t="s">
        <v>481</v>
      </c>
      <c r="D58" s="9" t="s">
        <v>482</v>
      </c>
      <c r="E58" s="9"/>
      <c r="F58" s="9"/>
      <c r="G58" s="9" t="s">
        <v>483</v>
      </c>
      <c r="H58" s="9" t="s">
        <v>484</v>
      </c>
      <c r="I58" s="9"/>
      <c r="J58" s="9" t="s">
        <v>93</v>
      </c>
    </row>
    <row r="59" spans="1:10" x14ac:dyDescent="0.2">
      <c r="A59" s="9" t="s">
        <v>485</v>
      </c>
      <c r="B59" s="9" t="s">
        <v>94</v>
      </c>
      <c r="C59" s="9" t="s">
        <v>486</v>
      </c>
      <c r="D59" s="9" t="s">
        <v>487</v>
      </c>
      <c r="E59" s="9"/>
      <c r="F59" s="9"/>
      <c r="G59" s="9" t="s">
        <v>488</v>
      </c>
      <c r="H59" s="9" t="s">
        <v>489</v>
      </c>
      <c r="I59" s="9"/>
      <c r="J59" s="9" t="s">
        <v>94</v>
      </c>
    </row>
    <row r="60" spans="1:10" x14ac:dyDescent="0.2">
      <c r="A60" s="9" t="s">
        <v>490</v>
      </c>
      <c r="B60" s="9" t="s">
        <v>95</v>
      </c>
      <c r="C60" s="9" t="s">
        <v>491</v>
      </c>
      <c r="D60" s="9"/>
      <c r="E60" s="9"/>
      <c r="F60" s="9"/>
      <c r="G60" s="9" t="s">
        <v>492</v>
      </c>
      <c r="H60" s="9" t="s">
        <v>493</v>
      </c>
      <c r="I60" s="9"/>
      <c r="J60" s="9" t="s">
        <v>95</v>
      </c>
    </row>
    <row r="61" spans="1:10" x14ac:dyDescent="0.2">
      <c r="A61" s="9" t="s">
        <v>494</v>
      </c>
      <c r="B61" s="9" t="s">
        <v>97</v>
      </c>
      <c r="C61" s="9" t="s">
        <v>495</v>
      </c>
      <c r="D61" s="9"/>
      <c r="E61" s="9"/>
      <c r="F61" s="9"/>
      <c r="G61" s="9" t="s">
        <v>496</v>
      </c>
      <c r="H61" s="9" t="s">
        <v>497</v>
      </c>
      <c r="I61" s="9"/>
      <c r="J61" s="9" t="s">
        <v>97</v>
      </c>
    </row>
    <row r="62" spans="1:10" x14ac:dyDescent="0.2">
      <c r="A62" s="9" t="s">
        <v>498</v>
      </c>
      <c r="B62" s="9" t="s">
        <v>99</v>
      </c>
      <c r="C62" s="9" t="s">
        <v>499</v>
      </c>
      <c r="D62" s="9" t="s">
        <v>500</v>
      </c>
      <c r="E62" s="9" t="s">
        <v>501</v>
      </c>
      <c r="F62" s="9" t="s">
        <v>502</v>
      </c>
      <c r="G62" s="9" t="s">
        <v>503</v>
      </c>
      <c r="H62" s="9" t="s">
        <v>504</v>
      </c>
      <c r="I62" s="9"/>
      <c r="J62" s="9" t="s">
        <v>504</v>
      </c>
    </row>
    <row r="63" spans="1:10" x14ac:dyDescent="0.2">
      <c r="A63" s="9" t="s">
        <v>505</v>
      </c>
      <c r="B63" s="9" t="s">
        <v>101</v>
      </c>
      <c r="C63" s="9" t="s">
        <v>506</v>
      </c>
      <c r="D63" s="9" t="s">
        <v>507</v>
      </c>
      <c r="E63" s="9" t="s">
        <v>508</v>
      </c>
      <c r="F63" s="9" t="s">
        <v>509</v>
      </c>
      <c r="G63" s="9" t="s">
        <v>510</v>
      </c>
      <c r="H63" s="9" t="s">
        <v>511</v>
      </c>
      <c r="I63" s="9"/>
      <c r="J63" s="9" t="s">
        <v>511</v>
      </c>
    </row>
    <row r="64" spans="1:10" x14ac:dyDescent="0.2">
      <c r="A64" s="9" t="s">
        <v>512</v>
      </c>
      <c r="B64" s="9" t="s">
        <v>103</v>
      </c>
      <c r="C64" s="9" t="s">
        <v>513</v>
      </c>
      <c r="D64" s="9" t="s">
        <v>514</v>
      </c>
      <c r="E64" s="9" t="s">
        <v>515</v>
      </c>
      <c r="F64" s="9" t="s">
        <v>516</v>
      </c>
      <c r="G64" s="9" t="s">
        <v>517</v>
      </c>
      <c r="H64" s="9" t="s">
        <v>518</v>
      </c>
      <c r="I64" s="9"/>
      <c r="J64" s="9" t="s">
        <v>518</v>
      </c>
    </row>
    <row r="65" spans="1:10" x14ac:dyDescent="0.2">
      <c r="A65" s="9" t="s">
        <v>519</v>
      </c>
      <c r="B65" s="9" t="s">
        <v>105</v>
      </c>
      <c r="C65" s="9" t="s">
        <v>520</v>
      </c>
      <c r="D65" s="9" t="s">
        <v>521</v>
      </c>
      <c r="E65" s="9" t="s">
        <v>522</v>
      </c>
      <c r="F65" s="9" t="s">
        <v>523</v>
      </c>
      <c r="G65" s="9" t="s">
        <v>524</v>
      </c>
      <c r="H65" s="9" t="s">
        <v>525</v>
      </c>
      <c r="I65" s="9" t="s">
        <v>526</v>
      </c>
      <c r="J65" s="9" t="s">
        <v>525</v>
      </c>
    </row>
    <row r="66" spans="1:10" x14ac:dyDescent="0.2">
      <c r="A66" s="9" t="s">
        <v>527</v>
      </c>
      <c r="B66" s="9" t="s">
        <v>107</v>
      </c>
      <c r="C66" s="9" t="s">
        <v>528</v>
      </c>
      <c r="D66" s="9" t="s">
        <v>529</v>
      </c>
      <c r="E66" s="9" t="s">
        <v>530</v>
      </c>
      <c r="F66" s="9"/>
      <c r="G66" s="9" t="s">
        <v>531</v>
      </c>
      <c r="H66" s="9" t="s">
        <v>532</v>
      </c>
      <c r="I66" s="9"/>
      <c r="J66" s="9" t="s">
        <v>532</v>
      </c>
    </row>
    <row r="67" spans="1:10" x14ac:dyDescent="0.2">
      <c r="A67" s="9" t="s">
        <v>533</v>
      </c>
      <c r="B67" s="9" t="s">
        <v>109</v>
      </c>
      <c r="C67" s="9" t="s">
        <v>534</v>
      </c>
      <c r="D67" s="9" t="s">
        <v>535</v>
      </c>
      <c r="E67" s="9" t="s">
        <v>536</v>
      </c>
      <c r="F67" s="9"/>
      <c r="G67" s="9" t="s">
        <v>537</v>
      </c>
      <c r="H67" s="9" t="s">
        <v>538</v>
      </c>
      <c r="I67" s="9"/>
      <c r="J67" s="9" t="s">
        <v>538</v>
      </c>
    </row>
    <row r="68" spans="1:10" x14ac:dyDescent="0.2">
      <c r="A68" s="9" t="s">
        <v>539</v>
      </c>
      <c r="B68" s="9" t="s">
        <v>112</v>
      </c>
      <c r="C68" s="9"/>
      <c r="D68" s="9" t="s">
        <v>540</v>
      </c>
      <c r="E68" s="9"/>
      <c r="F68" s="9" t="s">
        <v>541</v>
      </c>
      <c r="G68" s="9" t="s">
        <v>542</v>
      </c>
      <c r="H68" s="9" t="s">
        <v>543</v>
      </c>
      <c r="I68" s="9"/>
      <c r="J68" s="9" t="s">
        <v>112</v>
      </c>
    </row>
    <row r="69" spans="1:10" x14ac:dyDescent="0.2">
      <c r="A69" s="9" t="s">
        <v>544</v>
      </c>
      <c r="B69" s="9" t="s">
        <v>113</v>
      </c>
      <c r="C69" s="9"/>
      <c r="D69" s="9" t="s">
        <v>545</v>
      </c>
      <c r="E69" s="9"/>
      <c r="F69" s="9" t="s">
        <v>546</v>
      </c>
      <c r="G69" s="9" t="s">
        <v>547</v>
      </c>
      <c r="H69" s="9" t="s">
        <v>548</v>
      </c>
      <c r="I69" s="9"/>
      <c r="J69" s="9" t="s">
        <v>113</v>
      </c>
    </row>
    <row r="70" spans="1:10" x14ac:dyDescent="0.2">
      <c r="A70" s="9" t="s">
        <v>549</v>
      </c>
      <c r="B70" s="9" t="s">
        <v>114</v>
      </c>
      <c r="C70" s="9"/>
      <c r="D70" s="9" t="s">
        <v>550</v>
      </c>
      <c r="E70" s="9"/>
      <c r="F70" s="9"/>
      <c r="G70" s="9" t="s">
        <v>551</v>
      </c>
      <c r="H70" s="9" t="s">
        <v>552</v>
      </c>
      <c r="I70" s="9"/>
      <c r="J70" s="9" t="s">
        <v>114</v>
      </c>
    </row>
    <row r="71" spans="1:10" x14ac:dyDescent="0.2">
      <c r="A71" s="9" t="s">
        <v>553</v>
      </c>
      <c r="B71" s="9" t="s">
        <v>115</v>
      </c>
      <c r="C71" s="9" t="s">
        <v>554</v>
      </c>
      <c r="D71" s="9" t="s">
        <v>555</v>
      </c>
      <c r="E71" s="9"/>
      <c r="F71" s="9"/>
      <c r="G71" s="9" t="s">
        <v>556</v>
      </c>
      <c r="H71" s="9" t="s">
        <v>557</v>
      </c>
      <c r="I71" s="9"/>
      <c r="J71" s="9" t="s">
        <v>115</v>
      </c>
    </row>
    <row r="72" spans="1:10" x14ac:dyDescent="0.2">
      <c r="A72" s="9" t="s">
        <v>558</v>
      </c>
      <c r="B72" s="9" t="s">
        <v>116</v>
      </c>
      <c r="C72" s="9" t="s">
        <v>559</v>
      </c>
      <c r="D72" s="9" t="s">
        <v>560</v>
      </c>
      <c r="E72" s="9"/>
      <c r="F72" s="9" t="s">
        <v>561</v>
      </c>
      <c r="G72" s="9" t="s">
        <v>562</v>
      </c>
      <c r="H72" s="9" t="s">
        <v>563</v>
      </c>
      <c r="I72" s="9"/>
      <c r="J72" s="9" t="s">
        <v>116</v>
      </c>
    </row>
    <row r="73" spans="1:10" x14ac:dyDescent="0.2">
      <c r="A73" s="9" t="s">
        <v>564</v>
      </c>
      <c r="B73" s="9" t="s">
        <v>117</v>
      </c>
      <c r="C73" s="9"/>
      <c r="D73" s="9" t="s">
        <v>565</v>
      </c>
      <c r="E73" s="9"/>
      <c r="F73" s="9" t="s">
        <v>566</v>
      </c>
      <c r="G73" s="9" t="s">
        <v>567</v>
      </c>
      <c r="H73" s="9" t="s">
        <v>568</v>
      </c>
      <c r="I73" s="9"/>
      <c r="J73" s="9" t="s">
        <v>117</v>
      </c>
    </row>
    <row r="74" spans="1:10" x14ac:dyDescent="0.2">
      <c r="A74" s="9" t="s">
        <v>569</v>
      </c>
      <c r="B74" s="9" t="s">
        <v>119</v>
      </c>
      <c r="C74" s="9"/>
      <c r="D74" s="9"/>
      <c r="E74" s="9" t="s">
        <v>570</v>
      </c>
      <c r="F74" s="9"/>
      <c r="G74" s="9"/>
      <c r="H74" s="9" t="s">
        <v>571</v>
      </c>
      <c r="I74" s="9"/>
      <c r="J74" s="9" t="s">
        <v>119</v>
      </c>
    </row>
    <row r="75" spans="1:10" x14ac:dyDescent="0.2">
      <c r="A75" s="9" t="s">
        <v>572</v>
      </c>
      <c r="B75" s="9"/>
      <c r="C75" s="9"/>
      <c r="D75" s="9"/>
      <c r="E75" s="9" t="s">
        <v>573</v>
      </c>
      <c r="F75" s="9"/>
      <c r="G75" s="9"/>
      <c r="H75" s="9" t="s">
        <v>574</v>
      </c>
      <c r="I75" s="9"/>
      <c r="J75" s="9" t="s">
        <v>574</v>
      </c>
    </row>
    <row r="76" spans="1:10" x14ac:dyDescent="0.2">
      <c r="A76" s="9" t="s">
        <v>575</v>
      </c>
      <c r="B76" s="9" t="s">
        <v>121</v>
      </c>
      <c r="C76" s="9" t="s">
        <v>576</v>
      </c>
      <c r="D76" s="9"/>
      <c r="E76" s="9" t="s">
        <v>577</v>
      </c>
      <c r="F76" s="9"/>
      <c r="G76" s="9"/>
      <c r="H76" s="9" t="s">
        <v>578</v>
      </c>
      <c r="I76" s="9"/>
      <c r="J76" s="9" t="s">
        <v>121</v>
      </c>
    </row>
    <row r="77" spans="1:10" x14ac:dyDescent="0.2">
      <c r="A77" s="9" t="s">
        <v>579</v>
      </c>
      <c r="B77" s="9" t="s">
        <v>122</v>
      </c>
      <c r="C77" s="9"/>
      <c r="D77" s="9"/>
      <c r="E77" s="9" t="s">
        <v>580</v>
      </c>
      <c r="F77" s="9"/>
      <c r="G77" s="9"/>
      <c r="H77" s="9" t="s">
        <v>581</v>
      </c>
      <c r="I77" s="9"/>
      <c r="J77" s="9" t="s">
        <v>122</v>
      </c>
    </row>
    <row r="78" spans="1:10" x14ac:dyDescent="0.2">
      <c r="A78" s="9" t="s">
        <v>582</v>
      </c>
      <c r="B78" s="9" t="s">
        <v>123</v>
      </c>
      <c r="C78" s="9"/>
      <c r="D78" s="9"/>
      <c r="E78" s="9" t="s">
        <v>583</v>
      </c>
      <c r="F78" s="9"/>
      <c r="G78" s="9"/>
      <c r="H78" s="9" t="s">
        <v>584</v>
      </c>
      <c r="I78" s="9"/>
      <c r="J78" s="9" t="s">
        <v>123</v>
      </c>
    </row>
    <row r="79" spans="1:10" x14ac:dyDescent="0.2">
      <c r="A79" s="9" t="s">
        <v>585</v>
      </c>
      <c r="B79" s="9" t="s">
        <v>124</v>
      </c>
      <c r="C79" s="9"/>
      <c r="D79" s="9"/>
      <c r="E79" s="9" t="s">
        <v>586</v>
      </c>
      <c r="F79" s="9"/>
      <c r="G79" s="9"/>
      <c r="H79" s="9" t="s">
        <v>587</v>
      </c>
      <c r="I79" s="9"/>
      <c r="J79" s="9" t="s">
        <v>124</v>
      </c>
    </row>
    <row r="80" spans="1:10" x14ac:dyDescent="0.2">
      <c r="A80" s="9" t="s">
        <v>588</v>
      </c>
      <c r="B80" s="9" t="s">
        <v>125</v>
      </c>
      <c r="C80" s="9" t="s">
        <v>589</v>
      </c>
      <c r="D80" s="9"/>
      <c r="E80" s="9" t="s">
        <v>590</v>
      </c>
      <c r="F80" s="9"/>
      <c r="G80" s="9"/>
      <c r="H80" s="9" t="s">
        <v>591</v>
      </c>
      <c r="I80" s="9" t="s">
        <v>592</v>
      </c>
      <c r="J80" s="9" t="s">
        <v>125</v>
      </c>
    </row>
    <row r="81" spans="1:10" x14ac:dyDescent="0.2">
      <c r="A81" s="9" t="s">
        <v>593</v>
      </c>
      <c r="B81" s="9" t="s">
        <v>126</v>
      </c>
      <c r="C81" s="9" t="s">
        <v>594</v>
      </c>
      <c r="D81" s="9"/>
      <c r="E81" s="9" t="s">
        <v>595</v>
      </c>
      <c r="F81" s="9"/>
      <c r="G81" s="9"/>
      <c r="H81" s="9" t="s">
        <v>596</v>
      </c>
      <c r="I81" s="9" t="s">
        <v>597</v>
      </c>
      <c r="J81" s="9" t="s">
        <v>126</v>
      </c>
    </row>
    <row r="82" spans="1:10" x14ac:dyDescent="0.2">
      <c r="A82" s="9" t="s">
        <v>598</v>
      </c>
      <c r="B82" s="9" t="s">
        <v>127</v>
      </c>
      <c r="C82" s="9" t="s">
        <v>599</v>
      </c>
      <c r="D82" s="9"/>
      <c r="E82" s="9" t="s">
        <v>600</v>
      </c>
      <c r="F82" s="9"/>
      <c r="G82" s="9"/>
      <c r="H82" s="9" t="s">
        <v>601</v>
      </c>
      <c r="I82" s="9" t="s">
        <v>602</v>
      </c>
      <c r="J82" s="9" t="s">
        <v>127</v>
      </c>
    </row>
    <row r="83" spans="1:10" x14ac:dyDescent="0.2">
      <c r="A83" s="9" t="s">
        <v>603</v>
      </c>
      <c r="B83" s="9" t="s">
        <v>128</v>
      </c>
      <c r="C83" s="9" t="s">
        <v>604</v>
      </c>
      <c r="D83" s="9"/>
      <c r="E83" s="9" t="s">
        <v>605</v>
      </c>
      <c r="F83" s="9"/>
      <c r="G83" s="9"/>
      <c r="H83" s="9" t="s">
        <v>606</v>
      </c>
      <c r="I83" s="9" t="s">
        <v>607</v>
      </c>
      <c r="J83" s="9" t="s">
        <v>128</v>
      </c>
    </row>
    <row r="84" spans="1:10" x14ac:dyDescent="0.2">
      <c r="A84" s="9" t="s">
        <v>608</v>
      </c>
      <c r="B84" s="9" t="s">
        <v>129</v>
      </c>
      <c r="C84" s="9" t="s">
        <v>609</v>
      </c>
      <c r="D84" s="9"/>
      <c r="E84" s="9" t="s">
        <v>610</v>
      </c>
      <c r="F84" s="9"/>
      <c r="G84" s="9"/>
      <c r="H84" s="9" t="s">
        <v>611</v>
      </c>
      <c r="I84" s="9" t="s">
        <v>612</v>
      </c>
      <c r="J84" s="9" t="s">
        <v>129</v>
      </c>
    </row>
    <row r="85" spans="1:10" x14ac:dyDescent="0.2">
      <c r="A85" s="9" t="s">
        <v>613</v>
      </c>
      <c r="B85" s="9" t="s">
        <v>130</v>
      </c>
      <c r="C85" s="9" t="s">
        <v>614</v>
      </c>
      <c r="D85" s="9"/>
      <c r="E85" s="9" t="s">
        <v>615</v>
      </c>
      <c r="F85" s="9"/>
      <c r="G85" s="9"/>
      <c r="H85" s="9" t="s">
        <v>616</v>
      </c>
      <c r="I85" s="9" t="s">
        <v>617</v>
      </c>
      <c r="J85" s="9" t="s">
        <v>130</v>
      </c>
    </row>
    <row r="86" spans="1:10" x14ac:dyDescent="0.2">
      <c r="A86" s="9" t="s">
        <v>618</v>
      </c>
      <c r="B86" s="9" t="s">
        <v>132</v>
      </c>
      <c r="C86" s="9" t="s">
        <v>619</v>
      </c>
      <c r="D86" s="9"/>
      <c r="E86" s="9" t="s">
        <v>620</v>
      </c>
      <c r="F86" s="9" t="s">
        <v>621</v>
      </c>
      <c r="G86" s="9" t="s">
        <v>622</v>
      </c>
      <c r="H86" s="9" t="s">
        <v>623</v>
      </c>
      <c r="I86" s="9"/>
      <c r="J86" s="9" t="s">
        <v>132</v>
      </c>
    </row>
    <row r="87" spans="1:10" x14ac:dyDescent="0.2">
      <c r="A87" s="9" t="s">
        <v>624</v>
      </c>
      <c r="B87" s="9" t="s">
        <v>133</v>
      </c>
      <c r="C87" s="9" t="s">
        <v>625</v>
      </c>
      <c r="D87" s="9"/>
      <c r="E87" s="9" t="s">
        <v>626</v>
      </c>
      <c r="F87" s="9" t="s">
        <v>627</v>
      </c>
      <c r="G87" s="9" t="s">
        <v>628</v>
      </c>
      <c r="H87" s="9" t="s">
        <v>629</v>
      </c>
      <c r="I87" s="9"/>
      <c r="J87" s="9" t="s">
        <v>133</v>
      </c>
    </row>
    <row r="88" spans="1:10" x14ac:dyDescent="0.2">
      <c r="A88" s="9" t="s">
        <v>630</v>
      </c>
      <c r="B88" s="9" t="s">
        <v>134</v>
      </c>
      <c r="C88" s="9" t="s">
        <v>631</v>
      </c>
      <c r="D88" s="9" t="s">
        <v>632</v>
      </c>
      <c r="E88" s="9" t="s">
        <v>633</v>
      </c>
      <c r="F88" s="9" t="s">
        <v>634</v>
      </c>
      <c r="G88" s="9" t="s">
        <v>635</v>
      </c>
      <c r="H88" s="9" t="s">
        <v>636</v>
      </c>
      <c r="I88" s="9"/>
      <c r="J88" s="9" t="s">
        <v>134</v>
      </c>
    </row>
    <row r="89" spans="1:10" x14ac:dyDescent="0.2">
      <c r="A89" s="9" t="s">
        <v>637</v>
      </c>
      <c r="B89" s="9" t="s">
        <v>135</v>
      </c>
      <c r="C89" s="9" t="s">
        <v>638</v>
      </c>
      <c r="D89" s="9"/>
      <c r="E89" s="9" t="s">
        <v>639</v>
      </c>
      <c r="F89" s="9"/>
      <c r="G89" s="9" t="s">
        <v>640</v>
      </c>
      <c r="H89" s="9" t="s">
        <v>641</v>
      </c>
      <c r="I89" s="9"/>
      <c r="J89" s="9" t="s">
        <v>135</v>
      </c>
    </row>
    <row r="90" spans="1:10" x14ac:dyDescent="0.2">
      <c r="A90" s="9" t="s">
        <v>642</v>
      </c>
      <c r="B90" s="9" t="s">
        <v>136</v>
      </c>
      <c r="C90" s="9" t="s">
        <v>643</v>
      </c>
      <c r="D90" s="9"/>
      <c r="E90" s="9" t="s">
        <v>644</v>
      </c>
      <c r="F90" s="9"/>
      <c r="G90" s="9" t="s">
        <v>645</v>
      </c>
      <c r="H90" s="9" t="s">
        <v>646</v>
      </c>
      <c r="I90" s="9"/>
      <c r="J90" s="9" t="s">
        <v>136</v>
      </c>
    </row>
    <row r="91" spans="1:10" x14ac:dyDescent="0.2">
      <c r="A91" s="9" t="s">
        <v>647</v>
      </c>
      <c r="B91" s="9" t="s">
        <v>137</v>
      </c>
      <c r="C91" s="9" t="s">
        <v>648</v>
      </c>
      <c r="D91" s="9"/>
      <c r="E91" s="9" t="s">
        <v>649</v>
      </c>
      <c r="F91" s="9"/>
      <c r="G91" s="9" t="s">
        <v>650</v>
      </c>
      <c r="H91" s="9" t="s">
        <v>651</v>
      </c>
      <c r="I91" s="9"/>
      <c r="J91" s="9" t="s">
        <v>137</v>
      </c>
    </row>
    <row r="92" spans="1:10" x14ac:dyDescent="0.2">
      <c r="A92" s="9" t="s">
        <v>652</v>
      </c>
      <c r="B92" s="9" t="s">
        <v>138</v>
      </c>
      <c r="C92" s="9"/>
      <c r="D92" s="9"/>
      <c r="E92" s="9"/>
      <c r="F92" s="9"/>
      <c r="G92" s="9"/>
      <c r="H92" s="9"/>
      <c r="I92" s="9"/>
      <c r="J92" s="9" t="s">
        <v>138</v>
      </c>
    </row>
    <row r="93" spans="1:10" x14ac:dyDescent="0.2">
      <c r="A93" s="9" t="s">
        <v>653</v>
      </c>
      <c r="B93" s="9" t="s">
        <v>139</v>
      </c>
      <c r="C93" s="9"/>
      <c r="D93" s="9"/>
      <c r="E93" s="9"/>
      <c r="F93" s="9"/>
      <c r="G93" s="9"/>
      <c r="H93" s="9"/>
      <c r="I93" s="9"/>
      <c r="J93" s="9" t="s">
        <v>139</v>
      </c>
    </row>
    <row r="94" spans="1:10" x14ac:dyDescent="0.2">
      <c r="A94" s="9" t="s">
        <v>654</v>
      </c>
      <c r="B94" s="9" t="s">
        <v>140</v>
      </c>
      <c r="C94" s="9"/>
      <c r="D94" s="9"/>
      <c r="E94" s="9"/>
      <c r="F94" s="9"/>
      <c r="G94" s="9"/>
      <c r="H94" s="9"/>
      <c r="I94" s="9"/>
      <c r="J94" s="9" t="s">
        <v>140</v>
      </c>
    </row>
    <row r="95" spans="1:10" x14ac:dyDescent="0.2">
      <c r="A95" s="9" t="s">
        <v>655</v>
      </c>
      <c r="B95" s="9" t="s">
        <v>141</v>
      </c>
      <c r="C95" s="9"/>
      <c r="D95" s="9"/>
      <c r="E95" s="9"/>
      <c r="F95" s="9"/>
      <c r="G95" s="9"/>
      <c r="H95" s="9"/>
      <c r="I95" s="9"/>
      <c r="J95" s="9" t="s">
        <v>141</v>
      </c>
    </row>
    <row r="96" spans="1:10" x14ac:dyDescent="0.2">
      <c r="A96" s="9" t="s">
        <v>656</v>
      </c>
      <c r="B96" s="9" t="s">
        <v>142</v>
      </c>
      <c r="C96" s="9"/>
      <c r="D96" s="9"/>
      <c r="E96" s="9"/>
      <c r="F96" s="9"/>
      <c r="G96" s="9"/>
      <c r="H96" s="9"/>
      <c r="I96" s="9"/>
      <c r="J96" s="9" t="s">
        <v>142</v>
      </c>
    </row>
    <row r="97" spans="1:10" x14ac:dyDescent="0.2">
      <c r="A97" s="9" t="s">
        <v>657</v>
      </c>
      <c r="B97" s="9" t="s">
        <v>143</v>
      </c>
      <c r="C97" s="9"/>
      <c r="D97" s="9"/>
      <c r="E97" s="9"/>
      <c r="F97" s="9"/>
      <c r="G97" s="9"/>
      <c r="H97" s="9"/>
      <c r="I97" s="9"/>
      <c r="J97" s="9" t="s">
        <v>143</v>
      </c>
    </row>
    <row r="98" spans="1:10" x14ac:dyDescent="0.2">
      <c r="A98" s="9" t="s">
        <v>658</v>
      </c>
      <c r="B98" s="9" t="s">
        <v>144</v>
      </c>
      <c r="C98" s="9"/>
      <c r="D98" s="9"/>
      <c r="E98" s="9"/>
      <c r="F98" s="9"/>
      <c r="G98" s="9"/>
      <c r="H98" s="9"/>
      <c r="I98" s="9"/>
      <c r="J98" s="9" t="s">
        <v>144</v>
      </c>
    </row>
    <row r="99" spans="1:10" x14ac:dyDescent="0.2">
      <c r="A99" s="9" t="s">
        <v>659</v>
      </c>
      <c r="B99" s="9" t="s">
        <v>145</v>
      </c>
      <c r="C99" s="9"/>
      <c r="D99" s="9"/>
      <c r="E99" s="9"/>
      <c r="F99" s="9"/>
      <c r="G99" s="9"/>
      <c r="H99" s="9"/>
      <c r="I99" s="9"/>
      <c r="J99" s="9" t="s">
        <v>145</v>
      </c>
    </row>
    <row r="100" spans="1:10" x14ac:dyDescent="0.2">
      <c r="A100" s="9" t="s">
        <v>660</v>
      </c>
      <c r="B100" s="9" t="s">
        <v>146</v>
      </c>
      <c r="C100" s="9"/>
      <c r="D100" s="9"/>
      <c r="E100" s="9"/>
      <c r="F100" s="9"/>
      <c r="G100" s="9"/>
      <c r="H100" s="9"/>
      <c r="I100" s="9"/>
      <c r="J100" s="9" t="s">
        <v>146</v>
      </c>
    </row>
    <row r="101" spans="1:10" x14ac:dyDescent="0.2">
      <c r="A101" s="9" t="s">
        <v>661</v>
      </c>
      <c r="B101" s="9" t="s">
        <v>147</v>
      </c>
      <c r="C101" s="9"/>
      <c r="D101" s="9"/>
      <c r="E101" s="9"/>
      <c r="F101" s="9"/>
      <c r="G101" s="9"/>
      <c r="H101" s="9"/>
      <c r="I101" s="9"/>
      <c r="J101" s="9" t="s">
        <v>147</v>
      </c>
    </row>
    <row r="102" spans="1:10" x14ac:dyDescent="0.2">
      <c r="A102" s="9" t="s">
        <v>662</v>
      </c>
      <c r="B102" s="9" t="s">
        <v>148</v>
      </c>
      <c r="C102" s="9"/>
      <c r="D102" s="9"/>
      <c r="E102" s="9"/>
      <c r="F102" s="9"/>
      <c r="G102" s="9"/>
      <c r="H102" s="9"/>
      <c r="I102" s="9"/>
      <c r="J102" s="9" t="s">
        <v>148</v>
      </c>
    </row>
    <row r="103" spans="1:10" x14ac:dyDescent="0.2">
      <c r="A103" s="9" t="s">
        <v>663</v>
      </c>
      <c r="B103" s="9" t="s">
        <v>149</v>
      </c>
      <c r="C103" s="9"/>
      <c r="D103" s="9"/>
      <c r="E103" s="9"/>
      <c r="F103" s="9"/>
      <c r="G103" s="9"/>
      <c r="H103" s="9"/>
      <c r="I103" s="9"/>
      <c r="J103" s="9" t="s">
        <v>149</v>
      </c>
    </row>
    <row r="104" spans="1:10" x14ac:dyDescent="0.2">
      <c r="A104" s="9" t="s">
        <v>664</v>
      </c>
      <c r="B104" s="9" t="s">
        <v>151</v>
      </c>
      <c r="C104" s="9" t="s">
        <v>665</v>
      </c>
      <c r="D104" s="9"/>
      <c r="E104" s="9"/>
      <c r="F104" s="9"/>
      <c r="G104" s="9"/>
      <c r="H104" s="9"/>
      <c r="I104" s="9"/>
      <c r="J104" s="9" t="s">
        <v>151</v>
      </c>
    </row>
    <row r="105" spans="1:10" x14ac:dyDescent="0.2">
      <c r="A105" s="9" t="s">
        <v>666</v>
      </c>
      <c r="B105" s="9" t="s">
        <v>152</v>
      </c>
      <c r="C105" s="9" t="s">
        <v>667</v>
      </c>
      <c r="D105" s="9"/>
      <c r="E105" s="9"/>
      <c r="F105" s="9"/>
      <c r="G105" s="9"/>
      <c r="H105" s="9"/>
      <c r="I105" s="9"/>
      <c r="J105" s="9" t="s">
        <v>152</v>
      </c>
    </row>
    <row r="106" spans="1:10" x14ac:dyDescent="0.2">
      <c r="A106" s="9" t="s">
        <v>668</v>
      </c>
      <c r="B106" s="9" t="s">
        <v>153</v>
      </c>
      <c r="C106" s="9" t="s">
        <v>669</v>
      </c>
      <c r="D106" s="9"/>
      <c r="E106" s="9"/>
      <c r="F106" s="9"/>
      <c r="G106" s="9"/>
      <c r="H106" s="9"/>
      <c r="I106" s="9"/>
      <c r="J106" s="9" t="s">
        <v>153</v>
      </c>
    </row>
    <row r="107" spans="1:10" x14ac:dyDescent="0.2">
      <c r="A107" s="9" t="s">
        <v>670</v>
      </c>
      <c r="B107" s="9" t="s">
        <v>154</v>
      </c>
      <c r="C107" s="9" t="s">
        <v>671</v>
      </c>
      <c r="D107" s="9"/>
      <c r="E107" s="9"/>
      <c r="F107" s="9"/>
      <c r="G107" s="9"/>
      <c r="H107" s="9"/>
      <c r="I107" s="9"/>
      <c r="J107" s="9" t="s">
        <v>154</v>
      </c>
    </row>
    <row r="108" spans="1:10" x14ac:dyDescent="0.2">
      <c r="A108" s="9" t="s">
        <v>672</v>
      </c>
      <c r="B108" s="9" t="s">
        <v>155</v>
      </c>
      <c r="C108" s="9" t="s">
        <v>673</v>
      </c>
      <c r="D108" s="9"/>
      <c r="E108" s="9"/>
      <c r="F108" s="9"/>
      <c r="G108" s="9"/>
      <c r="H108" s="9"/>
      <c r="I108" s="9"/>
      <c r="J108" s="9" t="s">
        <v>155</v>
      </c>
    </row>
    <row r="109" spans="1:10" x14ac:dyDescent="0.2">
      <c r="A109" s="9" t="s">
        <v>674</v>
      </c>
      <c r="B109" s="9" t="s">
        <v>156</v>
      </c>
      <c r="C109" s="9" t="s">
        <v>675</v>
      </c>
      <c r="D109" s="9"/>
      <c r="E109" s="9"/>
      <c r="F109" s="9"/>
      <c r="G109" s="9"/>
      <c r="H109" s="9"/>
      <c r="I109" s="9"/>
      <c r="J109" s="9" t="s">
        <v>156</v>
      </c>
    </row>
    <row r="110" spans="1:10" x14ac:dyDescent="0.2">
      <c r="A110" s="9" t="s">
        <v>676</v>
      </c>
      <c r="B110" s="9" t="s">
        <v>157</v>
      </c>
      <c r="C110" s="9" t="s">
        <v>677</v>
      </c>
      <c r="D110" s="9"/>
      <c r="E110" s="9"/>
      <c r="F110" s="9"/>
      <c r="G110" s="9"/>
      <c r="H110" s="9"/>
      <c r="I110" s="9"/>
      <c r="J110" s="9" t="s">
        <v>157</v>
      </c>
    </row>
    <row r="111" spans="1:10" x14ac:dyDescent="0.2">
      <c r="A111" s="9" t="s">
        <v>678</v>
      </c>
      <c r="B111" s="9" t="s">
        <v>158</v>
      </c>
      <c r="C111" s="9" t="s">
        <v>679</v>
      </c>
      <c r="D111" s="9"/>
      <c r="E111" s="9"/>
      <c r="F111" s="9"/>
      <c r="G111" s="9"/>
      <c r="H111" s="9"/>
      <c r="I111" s="9"/>
      <c r="J111" s="9" t="s">
        <v>158</v>
      </c>
    </row>
    <row r="112" spans="1:10" x14ac:dyDescent="0.2">
      <c r="A112" s="9" t="s">
        <v>680</v>
      </c>
      <c r="B112" s="9" t="s">
        <v>159</v>
      </c>
      <c r="C112" s="9" t="s">
        <v>681</v>
      </c>
      <c r="D112" s="9"/>
      <c r="E112" s="9"/>
      <c r="F112" s="9"/>
      <c r="G112" s="9"/>
      <c r="H112" s="9"/>
      <c r="I112" s="9"/>
      <c r="J112" s="9" t="s">
        <v>159</v>
      </c>
    </row>
    <row r="113" spans="1:10" x14ac:dyDescent="0.2">
      <c r="A113" s="9" t="s">
        <v>682</v>
      </c>
      <c r="B113" s="9" t="s">
        <v>160</v>
      </c>
      <c r="C113" s="9" t="s">
        <v>683</v>
      </c>
      <c r="D113" s="9"/>
      <c r="E113" s="9"/>
      <c r="F113" s="9"/>
      <c r="G113" s="9"/>
      <c r="H113" s="9"/>
      <c r="I113" s="9"/>
      <c r="J113" s="9" t="s">
        <v>160</v>
      </c>
    </row>
    <row r="114" spans="1:10" x14ac:dyDescent="0.2">
      <c r="A114" s="9" t="s">
        <v>684</v>
      </c>
      <c r="B114" s="9" t="s">
        <v>161</v>
      </c>
      <c r="C114" s="9" t="s">
        <v>685</v>
      </c>
      <c r="D114" s="9"/>
      <c r="E114" s="9"/>
      <c r="F114" s="9"/>
      <c r="G114" s="9"/>
      <c r="H114" s="9"/>
      <c r="I114" s="9"/>
      <c r="J114" s="9" t="s">
        <v>161</v>
      </c>
    </row>
    <row r="115" spans="1:10" x14ac:dyDescent="0.2">
      <c r="A115" s="9" t="s">
        <v>686</v>
      </c>
      <c r="B115" s="9" t="s">
        <v>162</v>
      </c>
      <c r="C115" s="9" t="s">
        <v>687</v>
      </c>
      <c r="D115" s="9"/>
      <c r="E115" s="9"/>
      <c r="F115" s="9"/>
      <c r="G115" s="9"/>
      <c r="H115" s="9"/>
      <c r="I115" s="9"/>
      <c r="J115" s="9" t="s">
        <v>162</v>
      </c>
    </row>
    <row r="116" spans="1:10" x14ac:dyDescent="0.2">
      <c r="A116" s="9" t="s">
        <v>716</v>
      </c>
      <c r="B116" s="9" t="s">
        <v>688</v>
      </c>
      <c r="C116" s="9" t="s">
        <v>717</v>
      </c>
      <c r="D116" s="9" t="s">
        <v>718</v>
      </c>
      <c r="E116" s="9" t="s">
        <v>719</v>
      </c>
      <c r="F116" s="9"/>
      <c r="G116" s="9"/>
      <c r="H116" s="9" t="s">
        <v>720</v>
      </c>
      <c r="I116" s="9"/>
      <c r="J116" s="9" t="s">
        <v>688</v>
      </c>
    </row>
    <row r="117" spans="1:10" x14ac:dyDescent="0.2">
      <c r="A117" s="9" t="s">
        <v>721</v>
      </c>
      <c r="B117" s="9" t="s">
        <v>689</v>
      </c>
      <c r="C117" s="9" t="s">
        <v>722</v>
      </c>
      <c r="D117" s="9" t="s">
        <v>723</v>
      </c>
      <c r="E117" s="9" t="s">
        <v>724</v>
      </c>
      <c r="F117" s="9"/>
      <c r="G117" s="9"/>
      <c r="H117" s="9" t="s">
        <v>725</v>
      </c>
      <c r="I117" s="9"/>
      <c r="J117" s="9" t="s">
        <v>689</v>
      </c>
    </row>
    <row r="118" spans="1:10" x14ac:dyDescent="0.2">
      <c r="A118" s="9" t="s">
        <v>726</v>
      </c>
      <c r="B118" s="9" t="s">
        <v>690</v>
      </c>
      <c r="C118" s="9" t="s">
        <v>727</v>
      </c>
      <c r="D118" s="9" t="s">
        <v>728</v>
      </c>
      <c r="E118" s="9" t="s">
        <v>729</v>
      </c>
      <c r="F118" s="9"/>
      <c r="G118" s="9"/>
      <c r="H118" s="9" t="s">
        <v>730</v>
      </c>
      <c r="I118" s="9"/>
      <c r="J118" s="9" t="s">
        <v>690</v>
      </c>
    </row>
    <row r="119" spans="1:10" x14ac:dyDescent="0.2">
      <c r="A119" s="9" t="s">
        <v>731</v>
      </c>
      <c r="B119" s="9" t="s">
        <v>691</v>
      </c>
      <c r="C119" s="9" t="s">
        <v>732</v>
      </c>
      <c r="D119" s="9" t="s">
        <v>733</v>
      </c>
      <c r="E119" s="9" t="s">
        <v>734</v>
      </c>
      <c r="F119" s="9"/>
      <c r="G119" s="9"/>
      <c r="H119" s="9" t="s">
        <v>735</v>
      </c>
      <c r="I119" s="9"/>
      <c r="J119" s="9" t="s">
        <v>691</v>
      </c>
    </row>
    <row r="120" spans="1:10" x14ac:dyDescent="0.2">
      <c r="A120" s="9" t="s">
        <v>736</v>
      </c>
      <c r="B120" s="9" t="s">
        <v>692</v>
      </c>
      <c r="C120" s="9" t="s">
        <v>737</v>
      </c>
      <c r="D120" s="9" t="s">
        <v>738</v>
      </c>
      <c r="E120" s="9" t="s">
        <v>739</v>
      </c>
      <c r="F120" s="9"/>
      <c r="G120" s="9"/>
      <c r="H120" s="9" t="s">
        <v>740</v>
      </c>
      <c r="I120" s="9"/>
      <c r="J120" s="9" t="s">
        <v>692</v>
      </c>
    </row>
    <row r="121" spans="1:10" x14ac:dyDescent="0.2">
      <c r="A121" s="9" t="s">
        <v>741</v>
      </c>
      <c r="B121" s="9" t="s">
        <v>693</v>
      </c>
      <c r="C121" s="9" t="s">
        <v>742</v>
      </c>
      <c r="D121" s="9" t="s">
        <v>743</v>
      </c>
      <c r="E121" s="9" t="s">
        <v>744</v>
      </c>
      <c r="F121" s="9"/>
      <c r="G121" s="9"/>
      <c r="H121" s="9" t="s">
        <v>745</v>
      </c>
      <c r="I121" s="9"/>
      <c r="J121" s="9" t="s">
        <v>693</v>
      </c>
    </row>
    <row r="122" spans="1:10" x14ac:dyDescent="0.2">
      <c r="A122" s="9" t="s">
        <v>746</v>
      </c>
      <c r="B122" s="9" t="s">
        <v>694</v>
      </c>
      <c r="C122" s="9" t="s">
        <v>747</v>
      </c>
      <c r="D122" s="9" t="s">
        <v>748</v>
      </c>
      <c r="E122" s="9" t="s">
        <v>749</v>
      </c>
      <c r="F122" s="9"/>
      <c r="G122" s="9"/>
      <c r="H122" s="9" t="s">
        <v>750</v>
      </c>
      <c r="I122" s="9"/>
      <c r="J122" s="9" t="s">
        <v>694</v>
      </c>
    </row>
    <row r="123" spans="1:10" x14ac:dyDescent="0.2">
      <c r="A123" s="9" t="s">
        <v>751</v>
      </c>
      <c r="B123" s="9" t="s">
        <v>695</v>
      </c>
      <c r="C123" s="9" t="s">
        <v>752</v>
      </c>
      <c r="D123" s="9"/>
      <c r="E123" s="9" t="s">
        <v>753</v>
      </c>
      <c r="F123" s="9"/>
      <c r="H123" s="9" t="s">
        <v>754</v>
      </c>
      <c r="I123" s="9"/>
      <c r="J123" s="9" t="s">
        <v>695</v>
      </c>
    </row>
    <row r="124" spans="1:10" x14ac:dyDescent="0.2">
      <c r="A124" s="9" t="s">
        <v>755</v>
      </c>
      <c r="B124" s="9" t="s">
        <v>696</v>
      </c>
      <c r="C124" s="9" t="s">
        <v>756</v>
      </c>
      <c r="D124" s="9"/>
      <c r="E124" s="9" t="s">
        <v>757</v>
      </c>
      <c r="F124" s="9"/>
      <c r="G124" s="9"/>
      <c r="H124" s="9" t="s">
        <v>758</v>
      </c>
      <c r="I124" s="9"/>
      <c r="J124" s="9" t="s">
        <v>696</v>
      </c>
    </row>
    <row r="125" spans="1:10" x14ac:dyDescent="0.2">
      <c r="A125" s="9" t="s">
        <v>759</v>
      </c>
      <c r="B125" s="9" t="s">
        <v>697</v>
      </c>
      <c r="C125" s="9"/>
      <c r="D125" s="9"/>
      <c r="E125" s="9" t="s">
        <v>760</v>
      </c>
      <c r="F125" s="9"/>
      <c r="G125" s="9"/>
      <c r="H125" s="9" t="s">
        <v>761</v>
      </c>
      <c r="I125" s="9"/>
      <c r="J125" s="9" t="s">
        <v>697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92</vt:i4>
      </vt:variant>
    </vt:vector>
  </HeadingPairs>
  <TitlesOfParts>
    <vt:vector size="96" baseType="lpstr">
      <vt:lpstr>EVB</vt:lpstr>
      <vt:lpstr>pspe</vt:lpstr>
      <vt:lpstr>nopull</vt:lpstr>
      <vt:lpstr>params</vt:lpstr>
      <vt:lpstr>AUXCLK0</vt:lpstr>
      <vt:lpstr>AUXCLK1</vt:lpstr>
      <vt:lpstr>BOT_GPIO_0</vt:lpstr>
      <vt:lpstr>BOT_GPIO_1</vt:lpstr>
      <vt:lpstr>BOT_GPIO_2</vt:lpstr>
      <vt:lpstr>BOT_GPIO_3</vt:lpstr>
      <vt:lpstr>BOT_GPIO_4</vt:lpstr>
      <vt:lpstr>BOT_GPIO_5</vt:lpstr>
      <vt:lpstr>BOT_GPIO_6</vt:lpstr>
      <vt:lpstr>BOT_GPIO_7</vt:lpstr>
      <vt:lpstr>EMMC_CLK</vt:lpstr>
      <vt:lpstr>EMMC_CMD</vt:lpstr>
      <vt:lpstr>EMMC_DAT0</vt:lpstr>
      <vt:lpstr>EMMC_DAT1</vt:lpstr>
      <vt:lpstr>EMMC_DAT2</vt:lpstr>
      <vt:lpstr>EMMC_DAT3</vt:lpstr>
      <vt:lpstr>EMMC_DAT4</vt:lpstr>
      <vt:lpstr>EMMC_DAT5</vt:lpstr>
      <vt:lpstr>EMMC_DAT6</vt:lpstr>
      <vt:lpstr>EMMC_DAT7</vt:lpstr>
      <vt:lpstr>EMMC_DS</vt:lpstr>
      <vt:lpstr>EMMC_RESET_N</vt:lpstr>
      <vt:lpstr>EPHY_CLK</vt:lpstr>
      <vt:lpstr>EPHY_RSTN</vt:lpstr>
      <vt:lpstr>FLASH_EN</vt:lpstr>
      <vt:lpstr>I2C0_SCL</vt:lpstr>
      <vt:lpstr>I2C0_SDA</vt:lpstr>
      <vt:lpstr>I2C1_SCL</vt:lpstr>
      <vt:lpstr>I2C1_SDA</vt:lpstr>
      <vt:lpstr>I2C2_SCL</vt:lpstr>
      <vt:lpstr>I2C2_SDA</vt:lpstr>
      <vt:lpstr>I2C3_SCL</vt:lpstr>
      <vt:lpstr>I2C3_SDA</vt:lpstr>
      <vt:lpstr>I2C4_SCL</vt:lpstr>
      <vt:lpstr>I2C4_SDA</vt:lpstr>
      <vt:lpstr>I2C8_SCL</vt:lpstr>
      <vt:lpstr>I2C8_SDA</vt:lpstr>
      <vt:lpstr>I2C9_SCL</vt:lpstr>
      <vt:lpstr>I2C9_SDA</vt:lpstr>
      <vt:lpstr>IIS2_DIN0</vt:lpstr>
      <vt:lpstr>IIS2_DIN1</vt:lpstr>
      <vt:lpstr>IIS2_DOUT</vt:lpstr>
      <vt:lpstr>IIS2_LRCK</vt:lpstr>
      <vt:lpstr>IIS2_MCLK</vt:lpstr>
      <vt:lpstr>IIS2_SCLK</vt:lpstr>
      <vt:lpstr>PWM_0</vt:lpstr>
      <vt:lpstr>PWM_1</vt:lpstr>
      <vt:lpstr>PWM_2</vt:lpstr>
      <vt:lpstr>RGMII_MDCK</vt:lpstr>
      <vt:lpstr>RGMII_MDIO</vt:lpstr>
      <vt:lpstr>RGMII_RXCLK</vt:lpstr>
      <vt:lpstr>RGMII_RXD0</vt:lpstr>
      <vt:lpstr>RGMII_RXD1</vt:lpstr>
      <vt:lpstr>RGMII_RXD2</vt:lpstr>
      <vt:lpstr>RGMII_RXD3</vt:lpstr>
      <vt:lpstr>RGMII_RXDV</vt:lpstr>
      <vt:lpstr>RGMII_TXCLK</vt:lpstr>
      <vt:lpstr>RGMII_TXD0</vt:lpstr>
      <vt:lpstr>RGMII_TXD1</vt:lpstr>
      <vt:lpstr>RGMII_TXD2</vt:lpstr>
      <vt:lpstr>RGMII_TXD3</vt:lpstr>
      <vt:lpstr>RGMII_TXEN</vt:lpstr>
      <vt:lpstr>SD_CLK</vt:lpstr>
      <vt:lpstr>SD_CMD</vt:lpstr>
      <vt:lpstr>SD_DAT0</vt:lpstr>
      <vt:lpstr>SD_DAT1</vt:lpstr>
      <vt:lpstr>SD_DAT2</vt:lpstr>
      <vt:lpstr>SD_DAT3</vt:lpstr>
      <vt:lpstr>SDIO_CARD_DETECT_N</vt:lpstr>
      <vt:lpstr>SDIO_CLK</vt:lpstr>
      <vt:lpstr>SDIO_CMD</vt:lpstr>
      <vt:lpstr>SDIO_DAT0</vt:lpstr>
      <vt:lpstr>SDIO_DAT1</vt:lpstr>
      <vt:lpstr>SDIO_DAT2</vt:lpstr>
      <vt:lpstr>SDIO_DAT3</vt:lpstr>
      <vt:lpstr>SDIO_POWER_EN</vt:lpstr>
      <vt:lpstr>SDIO_POWER_SW</vt:lpstr>
      <vt:lpstr>SLEEPOUT</vt:lpstr>
      <vt:lpstr>SPI2_CLK</vt:lpstr>
      <vt:lpstr>SPI2_CS</vt:lpstr>
      <vt:lpstr>SPI2_MISO</vt:lpstr>
      <vt:lpstr>SPI2_MOSI</vt:lpstr>
      <vt:lpstr>SPI3_CLK</vt:lpstr>
      <vt:lpstr>SPI3_CS</vt:lpstr>
      <vt:lpstr>SPI3_MISO</vt:lpstr>
      <vt:lpstr>SPI3_MOSI</vt:lpstr>
      <vt:lpstr>SYS_RSTN_OUT</vt:lpstr>
      <vt:lpstr>SYS_WAKEUP0</vt:lpstr>
      <vt:lpstr>SYS_WAKEUP1</vt:lpstr>
      <vt:lpstr>TCK</vt:lpstr>
      <vt:lpstr>TMS</vt:lpstr>
      <vt:lpstr>USB_ID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于朕</cp:lastModifiedBy>
  <dcterms:created xsi:type="dcterms:W3CDTF">2015-06-05T18:19:00Z</dcterms:created>
  <dcterms:modified xsi:type="dcterms:W3CDTF">2024-05-11T02:49:00Z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34DF7E79EEE14B3C829690C27AEF7B83</vt:lpwstr>
  </property>
  <property fmtid="{D5CDD505-2E9C-101B-9397-08002B2CF9AE}" pid="3" name="KSOProductBuildVer">
    <vt:lpwstr>2052-11.1.0.11805</vt:lpwstr>
  </property>
</Properties>
</file>